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ipeline" sheetId="3" state="visible" r:id="rId3"/>
    <sheet name="Jobs" sheetId="4" state="visible" r:id="rId4"/>
    <sheet name="Invoices" sheetId="5" state="visible" r:id="rId5"/>
    <sheet name="Settings" sheetId="6" state="visible" r:id="rId6"/>
  </sheets>
  <definedNames>
    <definedName name="_xlnm._FilterDatabase" localSheetId="2" hidden="1">'Pipeline'!$B$4:$N$304</definedName>
    <definedName name="_xlnm._FilterDatabase" localSheetId="3" hidden="1">'Jobs'!$B$4:$L$204</definedName>
    <definedName name="_xlnm._FilterDatabase" localSheetId="4" hidden="1">'Invoices'!$B$4:$M$204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FF1F2A44"/>
      <sz val="8"/>
    </font>
    <font>
      <name val="Arial"/>
      <color rgb="FF8A8578"/>
      <sz val="8"/>
    </font>
    <font>
      <name val="Arial"/>
      <b val="1"/>
      <color rgb="FFFFFFFF"/>
      <sz val="16"/>
    </font>
    <font>
      <name val="Arial"/>
      <b val="1"/>
      <color rgb="FF1F2A44"/>
      <sz val="9"/>
    </font>
    <font>
      <name val="Arial"/>
      <b val="1"/>
      <color rgb="FF1F2A44"/>
      <sz val="12"/>
    </font>
    <font>
      <name val="Arial"/>
      <color rgb="FF222222"/>
      <sz val="10"/>
    </font>
    <font>
      <name val="Arial"/>
      <b val="1"/>
      <color rgb="FFCC0000"/>
      <sz val="11"/>
    </font>
    <font>
      <name val="Arial"/>
      <color rgb="FF666666"/>
      <sz val="8"/>
    </font>
    <font>
      <name val="Arial"/>
      <b val="1"/>
      <color rgb="FFFFFFFF"/>
      <sz val="14"/>
    </font>
    <font>
      <name val="Arial"/>
      <color rgb="FF666666"/>
      <sz val="9"/>
    </font>
    <font>
      <name val="Arial"/>
      <b val="1"/>
      <color rgb="FF1F2A44"/>
      <sz val="10"/>
    </font>
    <font>
      <name val="Arial"/>
      <color rgb="FFC9A227"/>
      <sz val="10"/>
    </font>
    <font>
      <name val="Arial"/>
      <b val="1"/>
      <color rgb="FFCC0000"/>
      <sz val="9"/>
    </font>
    <font>
      <name val="Arial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C9A227"/>
      </patternFill>
    </fill>
    <fill>
      <patternFill patternType="solid">
        <fgColor rgb="FFF4F1EA"/>
      </patternFill>
    </fill>
    <fill>
      <patternFill patternType="solid">
        <fgColor rgb="FFE8E2D4"/>
      </patternFill>
    </fill>
  </fills>
  <borders count="3">
    <border>
      <left/>
      <right/>
      <top/>
      <bottom/>
      <diagonal/>
    </border>
    <border>
      <left style="thin">
        <color rgb="FFD9D2C0"/>
      </left>
      <right style="thin">
        <color rgb="FFD9D2C0"/>
      </right>
      <top style="thin">
        <color rgb="FFD9D2C0"/>
      </top>
      <bottom style="thin">
        <color rgb="FFD9D2C0"/>
      </bottom>
    </border>
    <border>
      <bottom style="thin">
        <color rgb="FF1F2A4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4" borderId="1" pivotButton="0" quotePrefix="0" xfId="0"/>
    <xf numFmtId="1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4" fillId="5" borderId="0" pivotButton="0" quotePrefix="0" xfId="0"/>
    <xf numFmtId="0" fontId="11" fillId="0" borderId="0" pivotButton="0" quotePrefix="0" xfId="0"/>
    <xf numFmtId="4" fontId="0" fillId="0" borderId="0" pivotButton="0" quotePrefix="0" xfId="0"/>
    <xf numFmtId="0" fontId="12" fillId="0" borderId="0" pivotButton="0" quotePrefix="0" xfId="0"/>
    <xf numFmtId="0" fontId="4" fillId="5" borderId="2" pivotButton="0" quotePrefix="0" xfId="0"/>
    <xf numFmtId="166" fontId="14" fillId="4" borderId="0" applyProtection="1" pivotButton="0" quotePrefix="0" xfId="0">
      <protection locked="0" hidden="0"/>
    </xf>
    <xf numFmtId="0" fontId="14" fillId="4" borderId="0" applyProtection="1" pivotButton="0" quotePrefix="0" xfId="0">
      <protection locked="0" hidden="0"/>
    </xf>
    <xf numFmtId="4" fontId="14" fillId="4" borderId="0" applyProtection="1" pivotButton="0" quotePrefix="0" xfId="0">
      <protection locked="0" hidden="0"/>
    </xf>
    <xf numFmtId="164" fontId="0" fillId="0" borderId="0" pivotButton="0" quotePrefix="0" xfId="0"/>
    <xf numFmtId="0" fontId="1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10" fillId="0" borderId="0" pivotButton="0" quotePrefix="0" xfId="0"/>
    <xf numFmtId="0" fontId="11" fillId="5" borderId="0" pivotButton="0" quotePrefix="0" xfId="0"/>
    <xf numFmtId="164" fontId="14" fillId="4" borderId="0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b val="1"/>
        <color rgb="FFCC0000"/>
      </font>
    </dxf>
    <dxf>
      <font>
        <color rgb="FF38761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value by business line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9A227"/>
            </a:solidFill>
            <a:ln>
              <a:prstDash val="solid"/>
            </a:ln>
          </spPr>
          <cat>
            <numRef>
              <f>'Dashboard'!$B$17:$B$20</f>
            </numRef>
          </cat>
          <val>
            <numRef>
              <f>'Dashboard'!$C$17:$C$20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15" customHeight="1">
      <c r="B1" s="1" t="inlineStr">
        <is>
          <t>Start</t>
        </is>
      </c>
      <c r="D1" s="2" t="inlineStr">
        <is>
          <t>Dashboard</t>
        </is>
      </c>
      <c r="F1" s="2" t="inlineStr">
        <is>
          <t>Pipeline</t>
        </is>
      </c>
      <c r="H1" s="2" t="inlineStr">
        <is>
          <t>Jobs</t>
        </is>
      </c>
      <c r="J1" s="2" t="inlineStr">
        <is>
          <t>Invoices</t>
        </is>
      </c>
      <c r="L1" s="2" t="inlineStr">
        <is>
          <t>Settings</t>
        </is>
      </c>
    </row>
    <row r="2" ht="24" customHeight="1">
      <c r="B2" s="3" t="inlineStr">
        <is>
          <t xml:space="preserve">  RELIABLE SOURCES — COMMAND CENTER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6" customHeight="1">
      <c r="B3" s="5" t="inlineStr">
        <is>
          <t xml:space="preserve">  Who to chase today, what work is live, who owes you money — in under a minute.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5">
      <c r="B5" s="7" t="inlineStr">
        <is>
          <t>The 5-Minute Morning Routine</t>
        </is>
      </c>
    </row>
    <row r="7">
      <c r="B7" s="8" t="inlineStr">
        <is>
          <t>1.  Open the Dashboard tab and read the tiles — they update themselves.</t>
        </is>
      </c>
    </row>
    <row r="8">
      <c r="B8" s="8" t="inlineStr">
        <is>
          <t>2.  Check 'Follow-ups due' — call or WhatsApp each CALL TODAY lead in the Pipeline tab, update its stage, and set the next follow-up date.</t>
        </is>
      </c>
    </row>
    <row r="9">
      <c r="B9" s="8" t="inlineStr">
        <is>
          <t>3.  Glance at overdue invoices on the Dashboard — chase the oldest one first.</t>
        </is>
      </c>
    </row>
    <row r="10">
      <c r="B10" s="8" t="inlineStr">
        <is>
          <t>4.  New enquiry since yesterday? Log it in the Pipeline tab — one row, 30 seconds.</t>
        </is>
      </c>
    </row>
    <row r="12">
      <c r="B12" s="7" t="inlineStr">
        <is>
          <t>What each tab does</t>
        </is>
      </c>
    </row>
    <row r="13">
      <c r="B13" s="8" t="inlineStr">
        <is>
          <t>Dashboard — your morning read. All formulas, nothing to type.</t>
        </is>
      </c>
    </row>
    <row r="14">
      <c r="B14" s="8" t="inlineStr">
        <is>
          <t>Pipeline — every enquiry and quote. Blue cells are yours to type; grey ones fill themselves.</t>
        </is>
      </c>
    </row>
    <row r="15">
      <c r="B15" s="8" t="inlineStr">
        <is>
          <t>Jobs — won work only, with margin worked out for you.</t>
        </is>
      </c>
    </row>
    <row r="16">
      <c r="B16" s="8" t="inlineStr">
        <is>
          <t>Invoices — what you've billed, what's been paid, what's overdue.</t>
        </is>
      </c>
    </row>
    <row r="17">
      <c r="B17" s="8" t="inlineStr">
        <is>
          <t>Settings — rename business lines, sources and stages here without breaking anything.</t>
        </is>
      </c>
    </row>
    <row r="19">
      <c r="B19" s="9" t="inlineStr">
        <is>
          <t>The one rule: a lead without a next follow-up date is a lead you've decided to lose.</t>
        </is>
      </c>
    </row>
    <row r="21">
      <c r="B21" s="10" t="inlineStr">
        <is>
          <t>Blue writing on cream = type here. Everything else is locked so it can't break. Dummy data is loaded — replace it with your real pipeline.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B3:K3"/>
    <mergeCell ref="B2:K2"/>
  </mergeCells>
  <hyperlinks>
    <hyperlink ref="B1" location="'Start Here'!A1"/>
    <hyperlink ref="D1" location="'Dashboard'!A1"/>
    <hyperlink ref="F1" location="'Pipeline'!A1"/>
    <hyperlink ref="H1" location="'Jobs'!A1"/>
    <hyperlink ref="J1" location="'Invoices'!A1"/>
    <hyperlink ref="L1" location="'Setting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2" customWidth="1" min="4" max="4"/>
    <col width="26" customWidth="1" min="5" max="5"/>
    <col width="15" customWidth="1" min="6" max="6"/>
    <col width="2" customWidth="1" min="7" max="7"/>
    <col width="26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5" customHeight="1">
      <c r="B1" s="2" t="inlineStr">
        <is>
          <t>Start</t>
        </is>
      </c>
      <c r="D1" s="1" t="inlineStr">
        <is>
          <t>Dashboard</t>
        </is>
      </c>
      <c r="F1" s="2" t="inlineStr">
        <is>
          <t>Pipeline</t>
        </is>
      </c>
      <c r="H1" s="2" t="inlineStr">
        <is>
          <t>Jobs</t>
        </is>
      </c>
      <c r="J1" s="2" t="inlineStr">
        <is>
          <t>Invoices</t>
        </is>
      </c>
      <c r="L1" s="2" t="inlineStr">
        <is>
          <t>Settings</t>
        </is>
      </c>
    </row>
    <row r="2" ht="24" customHeight="1">
      <c r="B2" s="11" t="inlineStr">
        <is>
          <t xml:space="preserve">  DASHBOARD — read it, don't type in it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16" customHeight="1">
      <c r="B3" s="5" t="inlineStr">
        <is>
          <t xml:space="preserve">  Updates itself from Pipeline, Jobs and Invoices. Amounts in AED.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 ht="20" customHeight="1">
      <c r="B5" s="12" t="inlineStr">
        <is>
          <t>Follow-ups due today / overdue</t>
        </is>
      </c>
      <c r="C5" s="13">
        <f>COUNTIF(Pipeline!$M$5:$M$304,"CALL TODAY")</f>
        <v/>
      </c>
    </row>
    <row r="7" ht="20" customHeight="1">
      <c r="B7" s="12" t="inlineStr">
        <is>
          <t>Open pipeline (count)</t>
        </is>
      </c>
      <c r="C7" s="13">
        <f>COUNTIFS(Pipeline!$I$5:$I$304,"&lt;&gt;",Pipeline!$I$5:$I$304,"&lt;&gt;"&amp;Settings!$G$14,Pipeline!$I$5:$I$304,"&lt;&gt;"&amp;Settings!$G$15)</f>
        <v/>
      </c>
      <c r="E7" s="12" t="inlineStr">
        <is>
          <t>Open pipeline AED</t>
        </is>
      </c>
      <c r="F7" s="14">
        <f>SUMIFS(Pipeline!$H$5:$H$304,Pipeline!$I$5:$I$304,"&lt;&gt;",Pipeline!$I$5:$I$304,"&lt;&gt;"&amp;Settings!$G$14,Pipeline!$I$5:$I$304,"&lt;&gt;"&amp;Settings!$G$15)</f>
        <v/>
      </c>
      <c r="H7" s="12" t="inlineStr">
        <is>
          <t>Weighted pipeline AED</t>
        </is>
      </c>
      <c r="I7" s="14">
        <f>SUMIFS(Pipeline!$K$5:$K$304,Pipeline!$I$5:$I$304,"&lt;&gt;",Pipeline!$I$5:$I$304,"&lt;&gt;"&amp;Settings!$G$14,Pipeline!$I$5:$I$304,"&lt;&gt;"&amp;Settings!$G$15)</f>
        <v/>
      </c>
    </row>
    <row r="9" ht="20" customHeight="1">
      <c r="B9" s="12" t="inlineStr">
        <is>
          <t>New leads this month</t>
        </is>
      </c>
      <c r="C9" s="13">
        <f>COUNTIFS(Pipeline!$B$5:$B$304,"&gt;="&amp;DATE(YEAR(TODAY()),MONTH(TODAY()),1),Pipeline!$B$5:$B$304,"&lt;"&amp;EDATE(DATE(YEAR(TODAY()),MONTH(TODAY()),1),1))</f>
        <v/>
      </c>
      <c r="E9" s="12" t="inlineStr">
        <is>
          <t>Jobs won this month (count)</t>
        </is>
      </c>
      <c r="F9" s="13">
        <f>COUNTIFS(Jobs!$J$5:$J$204,"&gt;="&amp;DATE(YEAR(TODAY()),MONTH(TODAY()),1),Jobs!$J$5:$J$204,"&lt;"&amp;EDATE(DATE(YEAR(TODAY()),MONTH(TODAY()),1),1))</f>
        <v/>
      </c>
      <c r="H9" s="12" t="inlineStr">
        <is>
          <t>Jobs won this month AED</t>
        </is>
      </c>
      <c r="I9" s="14">
        <f>SUMIFS(Jobs!$E$5:$E$204,Jobs!$J$5:$J$204,"&gt;="&amp;DATE(YEAR(TODAY()),MONTH(TODAY()),1),Jobs!$J$5:$J$204,"&lt;"&amp;EDATE(DATE(YEAR(TODAY()),MONTH(TODAY()),1),1))</f>
        <v/>
      </c>
    </row>
    <row r="11" ht="20" customHeight="1">
      <c r="B11" s="12" t="inlineStr">
        <is>
          <t>Win rate (won ÷ closed)</t>
        </is>
      </c>
      <c r="C11" s="15">
        <f>IF(COUNTIF(Pipeline!$I$5:$I$304,Settings!$G$14)+COUNTIF(Pipeline!$I$5:$I$304,Settings!$G$15)=0,0,COUNTIF(Pipeline!$I$5:$I$304,Settings!$G$14)/(COUNTIF(Pipeline!$I$5:$I$304,Settings!$G$14)+COUNTIF(Pipeline!$I$5:$I$304,Settings!$G$15)))</f>
        <v/>
      </c>
      <c r="E11" s="12" t="inlineStr">
        <is>
          <t>Invoiced this month AED</t>
        </is>
      </c>
      <c r="F11" s="14">
        <f>SUMIFS(Invoices!$F$5:$F$204,Invoices!$E$5:$E$204,"&gt;="&amp;DATE(YEAR(TODAY()),MONTH(TODAY()),1),Invoices!$E$5:$E$204,"&lt;"&amp;EDATE(DATE(YEAR(TODAY()),MONTH(TODAY()),1),1))</f>
        <v/>
      </c>
      <c r="H11" s="12" t="inlineStr">
        <is>
          <t>Collected this month AED</t>
        </is>
      </c>
      <c r="I11" s="14">
        <f>SUMIFS(Invoices!$G$5:$G$204,Invoices!$H$5:$H$204,"&gt;="&amp;DATE(YEAR(TODAY()),MONTH(TODAY()),1),Invoices!$H$5:$H$204,"&lt;"&amp;EDATE(DATE(YEAR(TODAY()),MONTH(TODAY()),1),1))</f>
        <v/>
      </c>
    </row>
    <row r="13" ht="20" customHeight="1">
      <c r="B13" s="12" t="inlineStr">
        <is>
          <t>Total outstanding AED</t>
        </is>
      </c>
      <c r="C13" s="14">
        <f>SUM(Invoices!$I$5:$I$204)</f>
        <v/>
      </c>
      <c r="E13" s="12" t="inlineStr">
        <is>
          <t>Overdue AED</t>
        </is>
      </c>
      <c r="F13" s="14">
        <f>SUMIFS(Invoices!$I$5:$I$204,Invoices!$K$5:$K$204,"Overdue")</f>
        <v/>
      </c>
    </row>
    <row r="15">
      <c r="B15" s="5" t="inlineStr">
        <is>
          <t xml:space="preserve">  PIPELINE BY BUSINESS LINE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B16" s="16" t="inlineStr">
        <is>
          <t>Business line</t>
        </is>
      </c>
      <c r="C16" s="16" t="inlineStr">
        <is>
          <t>Open pipeline AED</t>
        </is>
      </c>
      <c r="D16" s="16" t="inlineStr">
        <is>
          <t>Won this year AED</t>
        </is>
      </c>
      <c r="E16" s="16" t="inlineStr">
        <is>
          <t>Open pipeline</t>
        </is>
      </c>
    </row>
    <row r="17">
      <c r="B17" s="17">
        <f>IF(Settings!$C$10="","",Settings!$C$10)</f>
        <v/>
      </c>
      <c r="C17" s="18">
        <f>IF($B17="","",SUMIFS(Pipeline!$H$5:$H$304,Pipeline!$E$5:$E$304,$B17,Pipeline!$I$5:$I$304,"&lt;&gt;",Pipeline!$I$5:$I$304,"&lt;&gt;"&amp;Settings!$G$14,Pipeline!$I$5:$I$304,"&lt;&gt;"&amp;Settings!$G$15))</f>
        <v/>
      </c>
      <c r="D17" s="18">
        <f>IF($B17="","",SUMIFS(Jobs!$E$5:$E$204,Jobs!$D$5:$D$204,$B17,Jobs!$J$5:$J$204,"&gt;="&amp;DATE(YEAR(TODAY()),1,1),Jobs!$J$5:$J$204,"&lt;"&amp;DATE(YEAR(TODAY())+1,1,1)))</f>
        <v/>
      </c>
      <c r="E17" s="19">
        <f>IF(OR($B17="",MAX($C$17:$C$20)=0),"",REPT("█",ROUND($C17/MAX($C$17:$C$20)*20,0)))</f>
        <v/>
      </c>
    </row>
    <row r="18">
      <c r="B18" s="17">
        <f>IF(Settings!$C$11="","",Settings!$C$11)</f>
        <v/>
      </c>
      <c r="C18" s="18">
        <f>IF($B18="","",SUMIFS(Pipeline!$H$5:$H$304,Pipeline!$E$5:$E$304,$B18,Pipeline!$I$5:$I$304,"&lt;&gt;",Pipeline!$I$5:$I$304,"&lt;&gt;"&amp;Settings!$G$14,Pipeline!$I$5:$I$304,"&lt;&gt;"&amp;Settings!$G$15))</f>
        <v/>
      </c>
      <c r="D18" s="18">
        <f>IF($B18="","",SUMIFS(Jobs!$E$5:$E$204,Jobs!$D$5:$D$204,$B18,Jobs!$J$5:$J$204,"&gt;="&amp;DATE(YEAR(TODAY()),1,1),Jobs!$J$5:$J$204,"&lt;"&amp;DATE(YEAR(TODAY())+1,1,1)))</f>
        <v/>
      </c>
      <c r="E18" s="19">
        <f>IF(OR($B18="",MAX($C$17:$C$20)=0),"",REPT("█",ROUND($C18/MAX($C$17:$C$20)*20,0)))</f>
        <v/>
      </c>
    </row>
    <row r="19">
      <c r="B19" s="17">
        <f>IF(Settings!$C$12="","",Settings!$C$12)</f>
        <v/>
      </c>
      <c r="C19" s="18">
        <f>IF($B19="","",SUMIFS(Pipeline!$H$5:$H$304,Pipeline!$E$5:$E$304,$B19,Pipeline!$I$5:$I$304,"&lt;&gt;",Pipeline!$I$5:$I$304,"&lt;&gt;"&amp;Settings!$G$14,Pipeline!$I$5:$I$304,"&lt;&gt;"&amp;Settings!$G$15))</f>
        <v/>
      </c>
      <c r="D19" s="18">
        <f>IF($B19="","",SUMIFS(Jobs!$E$5:$E$204,Jobs!$D$5:$D$204,$B19,Jobs!$J$5:$J$204,"&gt;="&amp;DATE(YEAR(TODAY()),1,1),Jobs!$J$5:$J$204,"&lt;"&amp;DATE(YEAR(TODAY())+1,1,1)))</f>
        <v/>
      </c>
      <c r="E19" s="19">
        <f>IF(OR($B19="",MAX($C$17:$C$20)=0),"",REPT("█",ROUND($C19/MAX($C$17:$C$20)*20,0)))</f>
        <v/>
      </c>
    </row>
    <row r="20">
      <c r="B20" s="17">
        <f>IF(Settings!$C$13="","",Settings!$C$13)</f>
        <v/>
      </c>
      <c r="C20" s="18">
        <f>IF($B20="","",SUMIFS(Pipeline!$H$5:$H$304,Pipeline!$E$5:$E$304,$B20,Pipeline!$I$5:$I$304,"&lt;&gt;",Pipeline!$I$5:$I$304,"&lt;&gt;"&amp;Settings!$G$14,Pipeline!$I$5:$I$304,"&lt;&gt;"&amp;Settings!$G$15))</f>
        <v/>
      </c>
      <c r="D20" s="18">
        <f>IF($B20="","",SUMIFS(Jobs!$E$5:$E$204,Jobs!$D$5:$D$204,$B20,Jobs!$J$5:$J$204,"&gt;="&amp;DATE(YEAR(TODAY()),1,1),Jobs!$J$5:$J$204,"&lt;"&amp;DATE(YEAR(TODAY())+1,1,1)))</f>
        <v/>
      </c>
      <c r="E20" s="19">
        <f>IF(OR($B20="",MAX($C$17:$C$20)=0),"",REPT("█",ROUND($C20/MAX($C$17:$C$20)*20,0)))</f>
        <v/>
      </c>
    </row>
    <row r="22">
      <c r="B22" s="10" t="inlineStr">
        <is>
          <t>Red tile means pick up the phone. The chart and this table follow whatever names you give your business lines in Settings.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3">
    <mergeCell ref="B3:M3"/>
    <mergeCell ref="B2:M2"/>
    <mergeCell ref="B15:M15"/>
  </mergeCells>
  <conditionalFormatting sqref="C5">
    <cfRule type="expression" priority="1" dxfId="0">
      <formula>$C$5&gt;0</formula>
    </cfRule>
  </conditionalFormatting>
  <conditionalFormatting sqref="F13">
    <cfRule type="expression" priority="2" dxfId="0">
      <formula>$F$13&gt;0</formula>
    </cfRule>
  </conditionalFormatting>
  <hyperlinks>
    <hyperlink ref="B1" location="'Start Here'!A1"/>
    <hyperlink ref="D1" location="'Dashboard'!A1"/>
    <hyperlink ref="F1" location="'Pipeline'!A1"/>
    <hyperlink ref="H1" location="'Jobs'!A1"/>
    <hyperlink ref="J1" location="'Invoices'!A1"/>
    <hyperlink ref="L1" location="'Settings'!A1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24" customWidth="1" min="3" max="3"/>
    <col width="14" customWidth="1" min="4" max="4"/>
    <col width="13" customWidth="1" min="5" max="5"/>
    <col width="14" customWidth="1" min="6" max="6"/>
    <col width="32" customWidth="1" min="7" max="7"/>
    <col width="14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28" customWidth="1" min="14" max="14"/>
  </cols>
  <sheetData>
    <row r="1" ht="15" customHeight="1">
      <c r="B1" s="2" t="inlineStr">
        <is>
          <t>Start</t>
        </is>
      </c>
      <c r="D1" s="2" t="inlineStr">
        <is>
          <t>Dashboard</t>
        </is>
      </c>
      <c r="F1" s="1" t="inlineStr">
        <is>
          <t>Pipeline</t>
        </is>
      </c>
      <c r="H1" s="2" t="inlineStr">
        <is>
          <t>Jobs</t>
        </is>
      </c>
      <c r="J1" s="2" t="inlineStr">
        <is>
          <t>Invoices</t>
        </is>
      </c>
      <c r="L1" s="2" t="inlineStr">
        <is>
          <t>Settings</t>
        </is>
      </c>
    </row>
    <row r="2" ht="24" customHeight="1">
      <c r="B2" s="11" t="inlineStr">
        <is>
          <t xml:space="preserve">  PIPELINE — every enquiry lives here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16" customHeight="1">
      <c r="B3" s="5" t="inlineStr">
        <is>
          <t xml:space="preserve">  Blue cells are yours. Probability, weighted value and the CALL TODAY flag fill themselves.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B4" s="20" t="inlineStr">
        <is>
          <t>Date in</t>
        </is>
      </c>
      <c r="C4" s="20" t="inlineStr">
        <is>
          <t>Client</t>
        </is>
      </c>
      <c r="D4" s="20" t="inlineStr">
        <is>
          <t>Contact</t>
        </is>
      </c>
      <c r="E4" s="20" t="inlineStr">
        <is>
          <t>Business line</t>
        </is>
      </c>
      <c r="F4" s="20" t="inlineStr">
        <is>
          <t>Source</t>
        </is>
      </c>
      <c r="G4" s="20" t="inlineStr">
        <is>
          <t>What they want</t>
        </is>
      </c>
      <c r="H4" s="20" t="inlineStr">
        <is>
          <t>Est. value AED</t>
        </is>
      </c>
      <c r="I4" s="20" t="inlineStr">
        <is>
          <t>Stage</t>
        </is>
      </c>
      <c r="J4" s="20" t="inlineStr">
        <is>
          <t>Probability %</t>
        </is>
      </c>
      <c r="K4" s="20" t="inlineStr">
        <is>
          <t>Weighted AED</t>
        </is>
      </c>
      <c r="L4" s="20" t="inlineStr">
        <is>
          <t>Next follow-up</t>
        </is>
      </c>
      <c r="M4" s="20" t="inlineStr">
        <is>
          <t>Status flag</t>
        </is>
      </c>
      <c r="N4" s="20" t="inlineStr">
        <is>
          <t>Notes</t>
        </is>
      </c>
    </row>
    <row r="5">
      <c r="B5" s="21" t="n">
        <v>46188</v>
      </c>
      <c r="C5" s="22" t="inlineStr">
        <is>
          <t>Al Noor Cafe - Marina</t>
        </is>
      </c>
      <c r="D5" s="22" t="inlineStr">
        <is>
          <t>Fatima R.</t>
        </is>
      </c>
      <c r="E5" s="22" t="inlineStr">
        <is>
          <t>Signage</t>
        </is>
      </c>
      <c r="F5" s="22" t="inlineStr">
        <is>
          <t>Google Ads</t>
        </is>
      </c>
      <c r="G5" s="22" t="inlineStr">
        <is>
          <t>Shopfront sign + menu boards</t>
        </is>
      </c>
      <c r="H5" s="23" t="n">
        <v>18500</v>
      </c>
      <c r="I5" s="22" t="inlineStr">
        <is>
          <t>Quote sent</t>
        </is>
      </c>
      <c r="J5" s="24">
        <f>IF($I5="","",IFERROR(VLOOKUP($I5,Settings!$G$10:$H$15,2,FALSE),""))</f>
        <v/>
      </c>
      <c r="K5" s="18">
        <f>IF(OR($H5="",$J5=""),"",$H5*$J5)</f>
        <v/>
      </c>
      <c r="L5" s="21" t="n">
        <v>46205</v>
      </c>
      <c r="M5" s="25">
        <f>IF(OR($I5="",$L5=""),"",IF(AND($L5&lt;=TODAY(),$I5&lt;&gt;Settings!$G$14,$I5&lt;&gt;Settings!$G$15),"CALL TODAY",""))</f>
        <v/>
      </c>
      <c r="N5" s="22" t="inlineStr">
        <is>
          <t>Wants LED letters, budget conscious</t>
        </is>
      </c>
    </row>
    <row r="6">
      <c r="B6" s="21" t="n">
        <v>46193</v>
      </c>
      <c r="C6" s="22" t="inlineStr">
        <is>
          <t>Dr. Salem Dental Clinic</t>
        </is>
      </c>
      <c r="D6" s="22" t="inlineStr">
        <is>
          <t>Dr. Salem</t>
        </is>
      </c>
      <c r="E6" s="22" t="inlineStr">
        <is>
          <t>Fitout</t>
        </is>
      </c>
      <c r="F6" s="22" t="inlineStr">
        <is>
          <t>Referral</t>
        </is>
      </c>
      <c r="G6" s="22" t="inlineStr">
        <is>
          <t>Reception + waiting area fitout</t>
        </is>
      </c>
      <c r="H6" s="23" t="n">
        <v>95000</v>
      </c>
      <c r="I6" s="22" t="inlineStr">
        <is>
          <t>Negotiating</t>
        </is>
      </c>
      <c r="J6" s="24">
        <f>IF($I6="","",IFERROR(VLOOKUP($I6,Settings!$G$10:$H$15,2,FALSE),""))</f>
        <v/>
      </c>
      <c r="K6" s="18">
        <f>IF(OR($H6="",$J6=""),"",$H6*$J6)</f>
        <v/>
      </c>
      <c r="L6" s="21" t="n">
        <v>46209</v>
      </c>
      <c r="M6" s="25">
        <f>IF(OR($I6="",$L6=""),"",IF(AND($L6&lt;=TODAY(),$I6&lt;&gt;Settings!$G$14,$I6&lt;&gt;Settings!$G$15),"CALL TODAY",""))</f>
        <v/>
      </c>
      <c r="N6" s="22" t="inlineStr">
        <is>
          <t>Comparing two quotes</t>
        </is>
      </c>
    </row>
    <row r="7">
      <c r="B7" s="21" t="n">
        <v>46204</v>
      </c>
      <c r="C7" s="22" t="inlineStr">
        <is>
          <t>Marina Gym Co.</t>
        </is>
      </c>
      <c r="D7" s="22" t="inlineStr">
        <is>
          <t>Omar K.</t>
        </is>
      </c>
      <c r="E7" s="22" t="inlineStr">
        <is>
          <t>Neon</t>
        </is>
      </c>
      <c r="F7" s="22" t="inlineStr">
        <is>
          <t>Instagram</t>
        </is>
      </c>
      <c r="G7" s="22" t="inlineStr">
        <is>
          <t>Neon logo wall for reception</t>
        </is>
      </c>
      <c r="H7" s="23" t="n">
        <v>7800</v>
      </c>
      <c r="I7" s="22" t="inlineStr">
        <is>
          <t>New</t>
        </is>
      </c>
      <c r="J7" s="24">
        <f>IF($I7="","",IFERROR(VLOOKUP($I7,Settings!$G$10:$H$15,2,FALSE),""))</f>
        <v/>
      </c>
      <c r="K7" s="18">
        <f>IF(OR($H7="",$J7=""),"",$H7*$J7)</f>
        <v/>
      </c>
      <c r="L7" s="21" t="n">
        <v>46208</v>
      </c>
      <c r="M7" s="25">
        <f>IF(OR($I7="",$L7=""),"",IF(AND($L7&lt;=TODAY(),$I7&lt;&gt;Settings!$G$14,$I7&lt;&gt;Settings!$G$15),"CALL TODAY",""))</f>
        <v/>
      </c>
      <c r="N7" s="22" t="inlineStr">
        <is>
          <t>DM enquiry, send portfolio</t>
        </is>
      </c>
    </row>
    <row r="8">
      <c r="B8" s="21" t="n">
        <v>46201</v>
      </c>
      <c r="C8" s="22" t="inlineStr">
        <is>
          <t>Lulu Mini Mart</t>
        </is>
      </c>
      <c r="D8" s="22" t="inlineStr">
        <is>
          <t>Anil P.</t>
        </is>
      </c>
      <c r="E8" s="22" t="inlineStr">
        <is>
          <t>Signage</t>
        </is>
      </c>
      <c r="F8" s="22" t="inlineStr">
        <is>
          <t>Walk-in</t>
        </is>
      </c>
      <c r="G8" s="22" t="inlineStr">
        <is>
          <t>Pylon sign refresh</t>
        </is>
      </c>
      <c r="H8" s="23" t="n">
        <v>24000</v>
      </c>
      <c r="I8" s="22" t="inlineStr">
        <is>
          <t>Contacted</t>
        </is>
      </c>
      <c r="J8" s="24">
        <f>IF($I8="","",IFERROR(VLOOKUP($I8,Settings!$G$10:$H$15,2,FALSE),""))</f>
        <v/>
      </c>
      <c r="K8" s="18">
        <f>IF(OR($H8="",$J8=""),"",$H8*$J8)</f>
        <v/>
      </c>
      <c r="L8" s="21" t="n">
        <v>46210</v>
      </c>
      <c r="M8" s="25">
        <f>IF(OR($I8="",$L8=""),"",IF(AND($L8&lt;=TODAY(),$I8&lt;&gt;Settings!$G$14,$I8&lt;&gt;Settings!$G$15),"CALL TODAY",""))</f>
        <v/>
      </c>
      <c r="N8" s="22" t="inlineStr">
        <is>
          <t>Site visit done, measuring next</t>
        </is>
      </c>
    </row>
    <row r="9">
      <c r="B9" s="21" t="n">
        <v>46205</v>
      </c>
      <c r="C9" s="22" t="inlineStr">
        <is>
          <t>Bloom Flower Boutique</t>
        </is>
      </c>
      <c r="D9" s="22" t="inlineStr">
        <is>
          <t>Sara M.</t>
        </is>
      </c>
      <c r="E9" s="22" t="inlineStr">
        <is>
          <t>Website</t>
        </is>
      </c>
      <c r="F9" s="22" t="inlineStr">
        <is>
          <t>Designer partner</t>
        </is>
      </c>
      <c r="G9" s="22" t="inlineStr">
        <is>
          <t>5-page brochure site</t>
        </is>
      </c>
      <c r="H9" s="23" t="n">
        <v>6500</v>
      </c>
      <c r="I9" s="22" t="inlineStr">
        <is>
          <t>New</t>
        </is>
      </c>
      <c r="J9" s="24">
        <f>IF($I9="","",IFERROR(VLOOKUP($I9,Settings!$G$10:$H$15,2,FALSE),""))</f>
        <v/>
      </c>
      <c r="K9" s="18">
        <f>IF(OR($H9="",$J9=""),"",$H9*$J9)</f>
        <v/>
      </c>
      <c r="L9" s="21" t="n">
        <v>46207</v>
      </c>
      <c r="M9" s="25">
        <f>IF(OR($I9="",$L9=""),"",IF(AND($L9&lt;=TODAY(),$I9&lt;&gt;Settings!$G$14,$I9&lt;&gt;Settings!$G$15),"CALL TODAY",""))</f>
        <v/>
      </c>
      <c r="N9" s="22" t="inlineStr">
        <is>
          <t>Referred by Layla (designer)</t>
        </is>
      </c>
    </row>
    <row r="10">
      <c r="B10" s="21" t="n">
        <v>46183</v>
      </c>
      <c r="C10" s="22" t="inlineStr">
        <is>
          <t>Desert Rose Salon</t>
        </is>
      </c>
      <c r="D10" s="22" t="inlineStr">
        <is>
          <t>Mariam A.</t>
        </is>
      </c>
      <c r="E10" s="22" t="inlineStr">
        <is>
          <t>Neon</t>
        </is>
      </c>
      <c r="F10" s="22" t="inlineStr">
        <is>
          <t>Instagram</t>
        </is>
      </c>
      <c r="G10" s="22" t="inlineStr">
        <is>
          <t>Custom neon sign for wall</t>
        </is>
      </c>
      <c r="H10" s="23" t="n">
        <v>5200</v>
      </c>
      <c r="I10" s="22" t="inlineStr">
        <is>
          <t>Quote sent</t>
        </is>
      </c>
      <c r="J10" s="24">
        <f>IF($I10="","",IFERROR(VLOOKUP($I10,Settings!$G$10:$H$15,2,FALSE),""))</f>
        <v/>
      </c>
      <c r="K10" s="18">
        <f>IF(OR($H10="",$J10=""),"",$H10*$J10)</f>
        <v/>
      </c>
      <c r="L10" s="21" t="n">
        <v>46211</v>
      </c>
      <c r="M10" s="25">
        <f>IF(OR($I10="",$L10=""),"",IF(AND($L10&lt;=TODAY(),$I10&lt;&gt;Settings!$G$14,$I10&lt;&gt;Settings!$G$15),"CALL TODAY",""))</f>
        <v/>
      </c>
      <c r="N10" s="22" t="inlineStr">
        <is>
          <t>Quote sent 25/06</t>
        </is>
      </c>
    </row>
    <row r="11">
      <c r="B11" s="21" t="n">
        <v>46191</v>
      </c>
      <c r="C11" s="22" t="inlineStr">
        <is>
          <t>Gulf Auto Detailing</t>
        </is>
      </c>
      <c r="D11" s="22" t="inlineStr">
        <is>
          <t>Khalid S.</t>
        </is>
      </c>
      <c r="E11" s="22" t="inlineStr">
        <is>
          <t>Signage</t>
        </is>
      </c>
      <c r="F11" s="22" t="inlineStr">
        <is>
          <t>Google Ads</t>
        </is>
      </c>
      <c r="G11" s="22" t="inlineStr">
        <is>
          <t>Full branding + workshop signage</t>
        </is>
      </c>
      <c r="H11" s="23" t="n">
        <v>32000</v>
      </c>
      <c r="I11" s="22" t="inlineStr">
        <is>
          <t>Negotiating</t>
        </is>
      </c>
      <c r="J11" s="24">
        <f>IF($I11="","",IFERROR(VLOOKUP($I11,Settings!$G$10:$H$15,2,FALSE),""))</f>
        <v/>
      </c>
      <c r="K11" s="18">
        <f>IF(OR($H11="",$J11=""),"",$H11*$J11)</f>
        <v/>
      </c>
      <c r="L11" s="21" t="n">
        <v>46212</v>
      </c>
      <c r="M11" s="25">
        <f>IF(OR($I11="",$L11=""),"",IF(AND($L11&lt;=TODAY(),$I11&lt;&gt;Settings!$G$14,$I11&lt;&gt;Settings!$G$15),"CALL TODAY",""))</f>
        <v/>
      </c>
      <c r="N11" s="22" t="inlineStr">
        <is>
          <t>Wants phased delivery</t>
        </is>
      </c>
    </row>
    <row r="12">
      <c r="B12" s="21" t="n">
        <v>46198</v>
      </c>
      <c r="C12" s="22" t="inlineStr">
        <is>
          <t>Sunrise Nursery</t>
        </is>
      </c>
      <c r="D12" s="22" t="inlineStr">
        <is>
          <t>Huda N.</t>
        </is>
      </c>
      <c r="E12" s="22" t="inlineStr">
        <is>
          <t>Fitout</t>
        </is>
      </c>
      <c r="F12" s="22" t="inlineStr">
        <is>
          <t>Existing client</t>
        </is>
      </c>
      <c r="G12" s="22" t="inlineStr">
        <is>
          <t>Two-classroom fitout</t>
        </is>
      </c>
      <c r="H12" s="23" t="n">
        <v>68000</v>
      </c>
      <c r="I12" s="22" t="inlineStr">
        <is>
          <t>Contacted</t>
        </is>
      </c>
      <c r="J12" s="24">
        <f>IF($I12="","",IFERROR(VLOOKUP($I12,Settings!$G$10:$H$15,2,FALSE),""))</f>
        <v/>
      </c>
      <c r="K12" s="18">
        <f>IF(OR($H12="",$J12=""),"",$H12*$J12)</f>
        <v/>
      </c>
      <c r="L12" s="21" t="n">
        <v>46213</v>
      </c>
      <c r="M12" s="25">
        <f>IF(OR($I12="",$L12=""),"",IF(AND($L12&lt;=TODAY(),$I12&lt;&gt;Settings!$G$14,$I12&lt;&gt;Settings!$G$15),"CALL TODAY",""))</f>
        <v/>
      </c>
      <c r="N12" s="22" t="inlineStr">
        <is>
          <t>Repeat client, summer window</t>
        </is>
      </c>
    </row>
    <row r="13">
      <c r="B13" s="21" t="n">
        <v>46185</v>
      </c>
      <c r="C13" s="22" t="inlineStr">
        <is>
          <t>Kaya Beach Restaurant</t>
        </is>
      </c>
      <c r="D13" s="22" t="inlineStr">
        <is>
          <t>Joseph T.</t>
        </is>
      </c>
      <c r="E13" s="22" t="inlineStr">
        <is>
          <t>Signage</t>
        </is>
      </c>
      <c r="F13" s="22" t="inlineStr">
        <is>
          <t>Referral</t>
        </is>
      </c>
      <c r="G13" s="22" t="inlineStr">
        <is>
          <t>Illuminated fascia sign</t>
        </is>
      </c>
      <c r="H13" s="23" t="n">
        <v>21000</v>
      </c>
      <c r="I13" s="22" t="inlineStr">
        <is>
          <t>Won</t>
        </is>
      </c>
      <c r="J13" s="24">
        <f>IF($I13="","",IFERROR(VLOOKUP($I13,Settings!$G$10:$H$15,2,FALSE),""))</f>
        <v/>
      </c>
      <c r="K13" s="18">
        <f>IF(OR($H13="",$J13=""),"",$H13*$J13)</f>
        <v/>
      </c>
      <c r="L13" s="21" t="n"/>
      <c r="M13" s="25">
        <f>IF(OR($I13="",$L13=""),"",IF(AND($L13&lt;=TODAY(),$I13&lt;&gt;Settings!$G$14,$I13&lt;&gt;Settings!$G$15),"CALL TODAY",""))</f>
        <v/>
      </c>
      <c r="N13" s="22" t="inlineStr">
        <is>
          <t>Now job RS-001</t>
        </is>
      </c>
    </row>
    <row r="14">
      <c r="B14" s="21" t="n">
        <v>46178</v>
      </c>
      <c r="C14" s="22" t="inlineStr">
        <is>
          <t>Falcon Real Estate</t>
        </is>
      </c>
      <c r="D14" s="22" t="inlineStr">
        <is>
          <t>Ahmed B.</t>
        </is>
      </c>
      <c r="E14" s="22" t="inlineStr">
        <is>
          <t>Website</t>
        </is>
      </c>
      <c r="F14" s="22" t="inlineStr">
        <is>
          <t>Google Ads</t>
        </is>
      </c>
      <c r="G14" s="22" t="inlineStr">
        <is>
          <t>Landing page for tower launch</t>
        </is>
      </c>
      <c r="H14" s="23" t="n">
        <v>4000</v>
      </c>
      <c r="I14" s="22" t="inlineStr">
        <is>
          <t>Lost</t>
        </is>
      </c>
      <c r="J14" s="24">
        <f>IF($I14="","",IFERROR(VLOOKUP($I14,Settings!$G$10:$H$15,2,FALSE),""))</f>
        <v/>
      </c>
      <c r="K14" s="18">
        <f>IF(OR($H14="",$J14=""),"",$H14*$J14)</f>
        <v/>
      </c>
      <c r="L14" s="21" t="n"/>
      <c r="M14" s="25">
        <f>IF(OR($I14="",$L14=""),"",IF(AND($L14&lt;=TODAY(),$I14&lt;&gt;Settings!$G$14,$I14&lt;&gt;Settings!$G$15),"CALL TODAY",""))</f>
        <v/>
      </c>
      <c r="N14" s="22" t="inlineStr">
        <is>
          <t>Went with agency</t>
        </is>
      </c>
    </row>
    <row r="15">
      <c r="B15" s="21" t="n"/>
      <c r="C15" s="22" t="n"/>
      <c r="D15" s="22" t="n"/>
      <c r="E15" s="22" t="n"/>
      <c r="F15" s="22" t="n"/>
      <c r="G15" s="22" t="n"/>
      <c r="H15" s="23" t="n"/>
      <c r="I15" s="22" t="n"/>
      <c r="J15" s="24">
        <f>IF($I15="","",IFERROR(VLOOKUP($I15,Settings!$G$10:$H$15,2,FALSE),""))</f>
        <v/>
      </c>
      <c r="K15" s="18">
        <f>IF(OR($H15="",$J15=""),"",$H15*$J15)</f>
        <v/>
      </c>
      <c r="L15" s="21" t="n"/>
      <c r="M15" s="25">
        <f>IF(OR($I15="",$L15=""),"",IF(AND($L15&lt;=TODAY(),$I15&lt;&gt;Settings!$G$14,$I15&lt;&gt;Settings!$G$15),"CALL TODAY",""))</f>
        <v/>
      </c>
      <c r="N15" s="22" t="n"/>
    </row>
    <row r="16">
      <c r="B16" s="21" t="n"/>
      <c r="C16" s="22" t="n"/>
      <c r="D16" s="22" t="n"/>
      <c r="E16" s="22" t="n"/>
      <c r="F16" s="22" t="n"/>
      <c r="G16" s="22" t="n"/>
      <c r="H16" s="23" t="n"/>
      <c r="I16" s="22" t="n"/>
      <c r="J16" s="24">
        <f>IF($I16="","",IFERROR(VLOOKUP($I16,Settings!$G$10:$H$15,2,FALSE),""))</f>
        <v/>
      </c>
      <c r="K16" s="18">
        <f>IF(OR($H16="",$J16=""),"",$H16*$J16)</f>
        <v/>
      </c>
      <c r="L16" s="21" t="n"/>
      <c r="M16" s="25">
        <f>IF(OR($I16="",$L16=""),"",IF(AND($L16&lt;=TODAY(),$I16&lt;&gt;Settings!$G$14,$I16&lt;&gt;Settings!$G$15),"CALL TODAY",""))</f>
        <v/>
      </c>
      <c r="N16" s="22" t="n"/>
    </row>
    <row r="17">
      <c r="B17" s="21" t="n"/>
      <c r="C17" s="22" t="n"/>
      <c r="D17" s="22" t="n"/>
      <c r="E17" s="22" t="n"/>
      <c r="F17" s="22" t="n"/>
      <c r="G17" s="22" t="n"/>
      <c r="H17" s="23" t="n"/>
      <c r="I17" s="22" t="n"/>
      <c r="J17" s="24">
        <f>IF($I17="","",IFERROR(VLOOKUP($I17,Settings!$G$10:$H$15,2,FALSE),""))</f>
        <v/>
      </c>
      <c r="K17" s="18">
        <f>IF(OR($H17="",$J17=""),"",$H17*$J17)</f>
        <v/>
      </c>
      <c r="L17" s="21" t="n"/>
      <c r="M17" s="25">
        <f>IF(OR($I17="",$L17=""),"",IF(AND($L17&lt;=TODAY(),$I17&lt;&gt;Settings!$G$14,$I17&lt;&gt;Settings!$G$15),"CALL TODAY",""))</f>
        <v/>
      </c>
      <c r="N17" s="22" t="n"/>
    </row>
    <row r="18">
      <c r="B18" s="21" t="n"/>
      <c r="C18" s="22" t="n"/>
      <c r="D18" s="22" t="n"/>
      <c r="E18" s="22" t="n"/>
      <c r="F18" s="22" t="n"/>
      <c r="G18" s="22" t="n"/>
      <c r="H18" s="23" t="n"/>
      <c r="I18" s="22" t="n"/>
      <c r="J18" s="24">
        <f>IF($I18="","",IFERROR(VLOOKUP($I18,Settings!$G$10:$H$15,2,FALSE),""))</f>
        <v/>
      </c>
      <c r="K18" s="18">
        <f>IF(OR($H18="",$J18=""),"",$H18*$J18)</f>
        <v/>
      </c>
      <c r="L18" s="21" t="n"/>
      <c r="M18" s="25">
        <f>IF(OR($I18="",$L18=""),"",IF(AND($L18&lt;=TODAY(),$I18&lt;&gt;Settings!$G$14,$I18&lt;&gt;Settings!$G$15),"CALL TODAY",""))</f>
        <v/>
      </c>
      <c r="N18" s="22" t="n"/>
    </row>
    <row r="19">
      <c r="B19" s="21" t="n"/>
      <c r="C19" s="22" t="n"/>
      <c r="D19" s="22" t="n"/>
      <c r="E19" s="22" t="n"/>
      <c r="F19" s="22" t="n"/>
      <c r="G19" s="22" t="n"/>
      <c r="H19" s="23" t="n"/>
      <c r="I19" s="22" t="n"/>
      <c r="J19" s="24">
        <f>IF($I19="","",IFERROR(VLOOKUP($I19,Settings!$G$10:$H$15,2,FALSE),""))</f>
        <v/>
      </c>
      <c r="K19" s="18">
        <f>IF(OR($H19="",$J19=""),"",$H19*$J19)</f>
        <v/>
      </c>
      <c r="L19" s="21" t="n"/>
      <c r="M19" s="25">
        <f>IF(OR($I19="",$L19=""),"",IF(AND($L19&lt;=TODAY(),$I19&lt;&gt;Settings!$G$14,$I19&lt;&gt;Settings!$G$15),"CALL TODAY",""))</f>
        <v/>
      </c>
      <c r="N19" s="22" t="n"/>
    </row>
    <row r="20">
      <c r="B20" s="21" t="n"/>
      <c r="C20" s="22" t="n"/>
      <c r="D20" s="22" t="n"/>
      <c r="E20" s="22" t="n"/>
      <c r="F20" s="22" t="n"/>
      <c r="G20" s="22" t="n"/>
      <c r="H20" s="23" t="n"/>
      <c r="I20" s="22" t="n"/>
      <c r="J20" s="24">
        <f>IF($I20="","",IFERROR(VLOOKUP($I20,Settings!$G$10:$H$15,2,FALSE),""))</f>
        <v/>
      </c>
      <c r="K20" s="18">
        <f>IF(OR($H20="",$J20=""),"",$H20*$J20)</f>
        <v/>
      </c>
      <c r="L20" s="21" t="n"/>
      <c r="M20" s="25">
        <f>IF(OR($I20="",$L20=""),"",IF(AND($L20&lt;=TODAY(),$I20&lt;&gt;Settings!$G$14,$I20&lt;&gt;Settings!$G$15),"CALL TODAY",""))</f>
        <v/>
      </c>
      <c r="N20" s="22" t="n"/>
    </row>
    <row r="21">
      <c r="B21" s="21" t="n"/>
      <c r="C21" s="22" t="n"/>
      <c r="D21" s="22" t="n"/>
      <c r="E21" s="22" t="n"/>
      <c r="F21" s="22" t="n"/>
      <c r="G21" s="22" t="n"/>
      <c r="H21" s="23" t="n"/>
      <c r="I21" s="22" t="n"/>
      <c r="J21" s="24">
        <f>IF($I21="","",IFERROR(VLOOKUP($I21,Settings!$G$10:$H$15,2,FALSE),""))</f>
        <v/>
      </c>
      <c r="K21" s="18">
        <f>IF(OR($H21="",$J21=""),"",$H21*$J21)</f>
        <v/>
      </c>
      <c r="L21" s="21" t="n"/>
      <c r="M21" s="25">
        <f>IF(OR($I21="",$L21=""),"",IF(AND($L21&lt;=TODAY(),$I21&lt;&gt;Settings!$G$14,$I21&lt;&gt;Settings!$G$15),"CALL TODAY",""))</f>
        <v/>
      </c>
      <c r="N21" s="22" t="n"/>
    </row>
    <row r="22">
      <c r="B22" s="21" t="n"/>
      <c r="C22" s="22" t="n"/>
      <c r="D22" s="22" t="n"/>
      <c r="E22" s="22" t="n"/>
      <c r="F22" s="22" t="n"/>
      <c r="G22" s="22" t="n"/>
      <c r="H22" s="23" t="n"/>
      <c r="I22" s="22" t="n"/>
      <c r="J22" s="24">
        <f>IF($I22="","",IFERROR(VLOOKUP($I22,Settings!$G$10:$H$15,2,FALSE),""))</f>
        <v/>
      </c>
      <c r="K22" s="18">
        <f>IF(OR($H22="",$J22=""),"",$H22*$J22)</f>
        <v/>
      </c>
      <c r="L22" s="21" t="n"/>
      <c r="M22" s="25">
        <f>IF(OR($I22="",$L22=""),"",IF(AND($L22&lt;=TODAY(),$I22&lt;&gt;Settings!$G$14,$I22&lt;&gt;Settings!$G$15),"CALL TODAY",""))</f>
        <v/>
      </c>
      <c r="N22" s="22" t="n"/>
    </row>
    <row r="23">
      <c r="B23" s="21" t="n"/>
      <c r="C23" s="22" t="n"/>
      <c r="D23" s="22" t="n"/>
      <c r="E23" s="22" t="n"/>
      <c r="F23" s="22" t="n"/>
      <c r="G23" s="22" t="n"/>
      <c r="H23" s="23" t="n"/>
      <c r="I23" s="22" t="n"/>
      <c r="J23" s="24">
        <f>IF($I23="","",IFERROR(VLOOKUP($I23,Settings!$G$10:$H$15,2,FALSE),""))</f>
        <v/>
      </c>
      <c r="K23" s="18">
        <f>IF(OR($H23="",$J23=""),"",$H23*$J23)</f>
        <v/>
      </c>
      <c r="L23" s="21" t="n"/>
      <c r="M23" s="25">
        <f>IF(OR($I23="",$L23=""),"",IF(AND($L23&lt;=TODAY(),$I23&lt;&gt;Settings!$G$14,$I23&lt;&gt;Settings!$G$15),"CALL TODAY",""))</f>
        <v/>
      </c>
      <c r="N23" s="22" t="n"/>
    </row>
    <row r="24">
      <c r="B24" s="21" t="n"/>
      <c r="C24" s="22" t="n"/>
      <c r="D24" s="22" t="n"/>
      <c r="E24" s="22" t="n"/>
      <c r="F24" s="22" t="n"/>
      <c r="G24" s="22" t="n"/>
      <c r="H24" s="23" t="n"/>
      <c r="I24" s="22" t="n"/>
      <c r="J24" s="24">
        <f>IF($I24="","",IFERROR(VLOOKUP($I24,Settings!$G$10:$H$15,2,FALSE),""))</f>
        <v/>
      </c>
      <c r="K24" s="18">
        <f>IF(OR($H24="",$J24=""),"",$H24*$J24)</f>
        <v/>
      </c>
      <c r="L24" s="21" t="n"/>
      <c r="M24" s="25">
        <f>IF(OR($I24="",$L24=""),"",IF(AND($L24&lt;=TODAY(),$I24&lt;&gt;Settings!$G$14,$I24&lt;&gt;Settings!$G$15),"CALL TODAY",""))</f>
        <v/>
      </c>
      <c r="N24" s="22" t="n"/>
    </row>
    <row r="25">
      <c r="B25" s="21" t="n"/>
      <c r="C25" s="22" t="n"/>
      <c r="D25" s="22" t="n"/>
      <c r="E25" s="22" t="n"/>
      <c r="F25" s="22" t="n"/>
      <c r="G25" s="22" t="n"/>
      <c r="H25" s="23" t="n"/>
      <c r="I25" s="22" t="n"/>
      <c r="J25" s="24">
        <f>IF($I25="","",IFERROR(VLOOKUP($I25,Settings!$G$10:$H$15,2,FALSE),""))</f>
        <v/>
      </c>
      <c r="K25" s="18">
        <f>IF(OR($H25="",$J25=""),"",$H25*$J25)</f>
        <v/>
      </c>
      <c r="L25" s="21" t="n"/>
      <c r="M25" s="25">
        <f>IF(OR($I25="",$L25=""),"",IF(AND($L25&lt;=TODAY(),$I25&lt;&gt;Settings!$G$14,$I25&lt;&gt;Settings!$G$15),"CALL TODAY",""))</f>
        <v/>
      </c>
      <c r="N25" s="22" t="n"/>
    </row>
    <row r="26">
      <c r="B26" s="21" t="n"/>
      <c r="C26" s="22" t="n"/>
      <c r="D26" s="22" t="n"/>
      <c r="E26" s="22" t="n"/>
      <c r="F26" s="22" t="n"/>
      <c r="G26" s="22" t="n"/>
      <c r="H26" s="23" t="n"/>
      <c r="I26" s="22" t="n"/>
      <c r="J26" s="24">
        <f>IF($I26="","",IFERROR(VLOOKUP($I26,Settings!$G$10:$H$15,2,FALSE),""))</f>
        <v/>
      </c>
      <c r="K26" s="18">
        <f>IF(OR($H26="",$J26=""),"",$H26*$J26)</f>
        <v/>
      </c>
      <c r="L26" s="21" t="n"/>
      <c r="M26" s="25">
        <f>IF(OR($I26="",$L26=""),"",IF(AND($L26&lt;=TODAY(),$I26&lt;&gt;Settings!$G$14,$I26&lt;&gt;Settings!$G$15),"CALL TODAY",""))</f>
        <v/>
      </c>
      <c r="N26" s="22" t="n"/>
    </row>
    <row r="27">
      <c r="B27" s="21" t="n"/>
      <c r="C27" s="22" t="n"/>
      <c r="D27" s="22" t="n"/>
      <c r="E27" s="22" t="n"/>
      <c r="F27" s="22" t="n"/>
      <c r="G27" s="22" t="n"/>
      <c r="H27" s="23" t="n"/>
      <c r="I27" s="22" t="n"/>
      <c r="J27" s="24">
        <f>IF($I27="","",IFERROR(VLOOKUP($I27,Settings!$G$10:$H$15,2,FALSE),""))</f>
        <v/>
      </c>
      <c r="K27" s="18">
        <f>IF(OR($H27="",$J27=""),"",$H27*$J27)</f>
        <v/>
      </c>
      <c r="L27" s="21" t="n"/>
      <c r="M27" s="25">
        <f>IF(OR($I27="",$L27=""),"",IF(AND($L27&lt;=TODAY(),$I27&lt;&gt;Settings!$G$14,$I27&lt;&gt;Settings!$G$15),"CALL TODAY",""))</f>
        <v/>
      </c>
      <c r="N27" s="22" t="n"/>
    </row>
    <row r="28">
      <c r="B28" s="21" t="n"/>
      <c r="C28" s="22" t="n"/>
      <c r="D28" s="22" t="n"/>
      <c r="E28" s="22" t="n"/>
      <c r="F28" s="22" t="n"/>
      <c r="G28" s="22" t="n"/>
      <c r="H28" s="23" t="n"/>
      <c r="I28" s="22" t="n"/>
      <c r="J28" s="24">
        <f>IF($I28="","",IFERROR(VLOOKUP($I28,Settings!$G$10:$H$15,2,FALSE),""))</f>
        <v/>
      </c>
      <c r="K28" s="18">
        <f>IF(OR($H28="",$J28=""),"",$H28*$J28)</f>
        <v/>
      </c>
      <c r="L28" s="21" t="n"/>
      <c r="M28" s="25">
        <f>IF(OR($I28="",$L28=""),"",IF(AND($L28&lt;=TODAY(),$I28&lt;&gt;Settings!$G$14,$I28&lt;&gt;Settings!$G$15),"CALL TODAY",""))</f>
        <v/>
      </c>
      <c r="N28" s="22" t="n"/>
    </row>
    <row r="29">
      <c r="B29" s="21" t="n"/>
      <c r="C29" s="22" t="n"/>
      <c r="D29" s="22" t="n"/>
      <c r="E29" s="22" t="n"/>
      <c r="F29" s="22" t="n"/>
      <c r="G29" s="22" t="n"/>
      <c r="H29" s="23" t="n"/>
      <c r="I29" s="22" t="n"/>
      <c r="J29" s="24">
        <f>IF($I29="","",IFERROR(VLOOKUP($I29,Settings!$G$10:$H$15,2,FALSE),""))</f>
        <v/>
      </c>
      <c r="K29" s="18">
        <f>IF(OR($H29="",$J29=""),"",$H29*$J29)</f>
        <v/>
      </c>
      <c r="L29" s="21" t="n"/>
      <c r="M29" s="25">
        <f>IF(OR($I29="",$L29=""),"",IF(AND($L29&lt;=TODAY(),$I29&lt;&gt;Settings!$G$14,$I29&lt;&gt;Settings!$G$15),"CALL TODAY",""))</f>
        <v/>
      </c>
      <c r="N29" s="22" t="n"/>
    </row>
    <row r="30">
      <c r="B30" s="21" t="n"/>
      <c r="C30" s="22" t="n"/>
      <c r="D30" s="22" t="n"/>
      <c r="E30" s="22" t="n"/>
      <c r="F30" s="22" t="n"/>
      <c r="G30" s="22" t="n"/>
      <c r="H30" s="23" t="n"/>
      <c r="I30" s="22" t="n"/>
      <c r="J30" s="24">
        <f>IF($I30="","",IFERROR(VLOOKUP($I30,Settings!$G$10:$H$15,2,FALSE),""))</f>
        <v/>
      </c>
      <c r="K30" s="18">
        <f>IF(OR($H30="",$J30=""),"",$H30*$J30)</f>
        <v/>
      </c>
      <c r="L30" s="21" t="n"/>
      <c r="M30" s="25">
        <f>IF(OR($I30="",$L30=""),"",IF(AND($L30&lt;=TODAY(),$I30&lt;&gt;Settings!$G$14,$I30&lt;&gt;Settings!$G$15),"CALL TODAY",""))</f>
        <v/>
      </c>
      <c r="N30" s="22" t="n"/>
    </row>
    <row r="31">
      <c r="B31" s="21" t="n"/>
      <c r="C31" s="22" t="n"/>
      <c r="D31" s="22" t="n"/>
      <c r="E31" s="22" t="n"/>
      <c r="F31" s="22" t="n"/>
      <c r="G31" s="22" t="n"/>
      <c r="H31" s="23" t="n"/>
      <c r="I31" s="22" t="n"/>
      <c r="J31" s="24">
        <f>IF($I31="","",IFERROR(VLOOKUP($I31,Settings!$G$10:$H$15,2,FALSE),""))</f>
        <v/>
      </c>
      <c r="K31" s="18">
        <f>IF(OR($H31="",$J31=""),"",$H31*$J31)</f>
        <v/>
      </c>
      <c r="L31" s="21" t="n"/>
      <c r="M31" s="25">
        <f>IF(OR($I31="",$L31=""),"",IF(AND($L31&lt;=TODAY(),$I31&lt;&gt;Settings!$G$14,$I31&lt;&gt;Settings!$G$15),"CALL TODAY",""))</f>
        <v/>
      </c>
      <c r="N31" s="22" t="n"/>
    </row>
    <row r="32">
      <c r="B32" s="21" t="n"/>
      <c r="C32" s="22" t="n"/>
      <c r="D32" s="22" t="n"/>
      <c r="E32" s="22" t="n"/>
      <c r="F32" s="22" t="n"/>
      <c r="G32" s="22" t="n"/>
      <c r="H32" s="23" t="n"/>
      <c r="I32" s="22" t="n"/>
      <c r="J32" s="24">
        <f>IF($I32="","",IFERROR(VLOOKUP($I32,Settings!$G$10:$H$15,2,FALSE),""))</f>
        <v/>
      </c>
      <c r="K32" s="18">
        <f>IF(OR($H32="",$J32=""),"",$H32*$J32)</f>
        <v/>
      </c>
      <c r="L32" s="21" t="n"/>
      <c r="M32" s="25">
        <f>IF(OR($I32="",$L32=""),"",IF(AND($L32&lt;=TODAY(),$I32&lt;&gt;Settings!$G$14,$I32&lt;&gt;Settings!$G$15),"CALL TODAY",""))</f>
        <v/>
      </c>
      <c r="N32" s="22" t="n"/>
    </row>
    <row r="33">
      <c r="B33" s="21" t="n"/>
      <c r="C33" s="22" t="n"/>
      <c r="D33" s="22" t="n"/>
      <c r="E33" s="22" t="n"/>
      <c r="F33" s="22" t="n"/>
      <c r="G33" s="22" t="n"/>
      <c r="H33" s="23" t="n"/>
      <c r="I33" s="22" t="n"/>
      <c r="J33" s="24">
        <f>IF($I33="","",IFERROR(VLOOKUP($I33,Settings!$G$10:$H$15,2,FALSE),""))</f>
        <v/>
      </c>
      <c r="K33" s="18">
        <f>IF(OR($H33="",$J33=""),"",$H33*$J33)</f>
        <v/>
      </c>
      <c r="L33" s="21" t="n"/>
      <c r="M33" s="25">
        <f>IF(OR($I33="",$L33=""),"",IF(AND($L33&lt;=TODAY(),$I33&lt;&gt;Settings!$G$14,$I33&lt;&gt;Settings!$G$15),"CALL TODAY",""))</f>
        <v/>
      </c>
      <c r="N33" s="22" t="n"/>
    </row>
    <row r="34">
      <c r="B34" s="21" t="n"/>
      <c r="C34" s="22" t="n"/>
      <c r="D34" s="22" t="n"/>
      <c r="E34" s="22" t="n"/>
      <c r="F34" s="22" t="n"/>
      <c r="G34" s="22" t="n"/>
      <c r="H34" s="23" t="n"/>
      <c r="I34" s="22" t="n"/>
      <c r="J34" s="24">
        <f>IF($I34="","",IFERROR(VLOOKUP($I34,Settings!$G$10:$H$15,2,FALSE),""))</f>
        <v/>
      </c>
      <c r="K34" s="18">
        <f>IF(OR($H34="",$J34=""),"",$H34*$J34)</f>
        <v/>
      </c>
      <c r="L34" s="21" t="n"/>
      <c r="M34" s="25">
        <f>IF(OR($I34="",$L34=""),"",IF(AND($L34&lt;=TODAY(),$I34&lt;&gt;Settings!$G$14,$I34&lt;&gt;Settings!$G$15),"CALL TODAY",""))</f>
        <v/>
      </c>
      <c r="N34" s="22" t="n"/>
    </row>
    <row r="35">
      <c r="B35" s="21" t="n"/>
      <c r="C35" s="22" t="n"/>
      <c r="D35" s="22" t="n"/>
      <c r="E35" s="22" t="n"/>
      <c r="F35" s="22" t="n"/>
      <c r="G35" s="22" t="n"/>
      <c r="H35" s="23" t="n"/>
      <c r="I35" s="22" t="n"/>
      <c r="J35" s="24">
        <f>IF($I35="","",IFERROR(VLOOKUP($I35,Settings!$G$10:$H$15,2,FALSE),""))</f>
        <v/>
      </c>
      <c r="K35" s="18">
        <f>IF(OR($H35="",$J35=""),"",$H35*$J35)</f>
        <v/>
      </c>
      <c r="L35" s="21" t="n"/>
      <c r="M35" s="25">
        <f>IF(OR($I35="",$L35=""),"",IF(AND($L35&lt;=TODAY(),$I35&lt;&gt;Settings!$G$14,$I35&lt;&gt;Settings!$G$15),"CALL TODAY",""))</f>
        <v/>
      </c>
      <c r="N35" s="22" t="n"/>
    </row>
    <row r="36">
      <c r="B36" s="21" t="n"/>
      <c r="C36" s="22" t="n"/>
      <c r="D36" s="22" t="n"/>
      <c r="E36" s="22" t="n"/>
      <c r="F36" s="22" t="n"/>
      <c r="G36" s="22" t="n"/>
      <c r="H36" s="23" t="n"/>
      <c r="I36" s="22" t="n"/>
      <c r="J36" s="24">
        <f>IF($I36="","",IFERROR(VLOOKUP($I36,Settings!$G$10:$H$15,2,FALSE),""))</f>
        <v/>
      </c>
      <c r="K36" s="18">
        <f>IF(OR($H36="",$J36=""),"",$H36*$J36)</f>
        <v/>
      </c>
      <c r="L36" s="21" t="n"/>
      <c r="M36" s="25">
        <f>IF(OR($I36="",$L36=""),"",IF(AND($L36&lt;=TODAY(),$I36&lt;&gt;Settings!$G$14,$I36&lt;&gt;Settings!$G$15),"CALL TODAY",""))</f>
        <v/>
      </c>
      <c r="N36" s="22" t="n"/>
    </row>
    <row r="37">
      <c r="B37" s="21" t="n"/>
      <c r="C37" s="22" t="n"/>
      <c r="D37" s="22" t="n"/>
      <c r="E37" s="22" t="n"/>
      <c r="F37" s="22" t="n"/>
      <c r="G37" s="22" t="n"/>
      <c r="H37" s="23" t="n"/>
      <c r="I37" s="22" t="n"/>
      <c r="J37" s="24">
        <f>IF($I37="","",IFERROR(VLOOKUP($I37,Settings!$G$10:$H$15,2,FALSE),""))</f>
        <v/>
      </c>
      <c r="K37" s="18">
        <f>IF(OR($H37="",$J37=""),"",$H37*$J37)</f>
        <v/>
      </c>
      <c r="L37" s="21" t="n"/>
      <c r="M37" s="25">
        <f>IF(OR($I37="",$L37=""),"",IF(AND($L37&lt;=TODAY(),$I37&lt;&gt;Settings!$G$14,$I37&lt;&gt;Settings!$G$15),"CALL TODAY",""))</f>
        <v/>
      </c>
      <c r="N37" s="22" t="n"/>
    </row>
    <row r="38">
      <c r="B38" s="21" t="n"/>
      <c r="C38" s="22" t="n"/>
      <c r="D38" s="22" t="n"/>
      <c r="E38" s="22" t="n"/>
      <c r="F38" s="22" t="n"/>
      <c r="G38" s="22" t="n"/>
      <c r="H38" s="23" t="n"/>
      <c r="I38" s="22" t="n"/>
      <c r="J38" s="24">
        <f>IF($I38="","",IFERROR(VLOOKUP($I38,Settings!$G$10:$H$15,2,FALSE),""))</f>
        <v/>
      </c>
      <c r="K38" s="18">
        <f>IF(OR($H38="",$J38=""),"",$H38*$J38)</f>
        <v/>
      </c>
      <c r="L38" s="21" t="n"/>
      <c r="M38" s="25">
        <f>IF(OR($I38="",$L38=""),"",IF(AND($L38&lt;=TODAY(),$I38&lt;&gt;Settings!$G$14,$I38&lt;&gt;Settings!$G$15),"CALL TODAY",""))</f>
        <v/>
      </c>
      <c r="N38" s="22" t="n"/>
    </row>
    <row r="39">
      <c r="B39" s="21" t="n"/>
      <c r="C39" s="22" t="n"/>
      <c r="D39" s="22" t="n"/>
      <c r="E39" s="22" t="n"/>
      <c r="F39" s="22" t="n"/>
      <c r="G39" s="22" t="n"/>
      <c r="H39" s="23" t="n"/>
      <c r="I39" s="22" t="n"/>
      <c r="J39" s="24">
        <f>IF($I39="","",IFERROR(VLOOKUP($I39,Settings!$G$10:$H$15,2,FALSE),""))</f>
        <v/>
      </c>
      <c r="K39" s="18">
        <f>IF(OR($H39="",$J39=""),"",$H39*$J39)</f>
        <v/>
      </c>
      <c r="L39" s="21" t="n"/>
      <c r="M39" s="25">
        <f>IF(OR($I39="",$L39=""),"",IF(AND($L39&lt;=TODAY(),$I39&lt;&gt;Settings!$G$14,$I39&lt;&gt;Settings!$G$15),"CALL TODAY",""))</f>
        <v/>
      </c>
      <c r="N39" s="22" t="n"/>
    </row>
    <row r="40">
      <c r="B40" s="21" t="n"/>
      <c r="C40" s="22" t="n"/>
      <c r="D40" s="22" t="n"/>
      <c r="E40" s="22" t="n"/>
      <c r="F40" s="22" t="n"/>
      <c r="G40" s="22" t="n"/>
      <c r="H40" s="23" t="n"/>
      <c r="I40" s="22" t="n"/>
      <c r="J40" s="24">
        <f>IF($I40="","",IFERROR(VLOOKUP($I40,Settings!$G$10:$H$15,2,FALSE),""))</f>
        <v/>
      </c>
      <c r="K40" s="18">
        <f>IF(OR($H40="",$J40=""),"",$H40*$J40)</f>
        <v/>
      </c>
      <c r="L40" s="21" t="n"/>
      <c r="M40" s="25">
        <f>IF(OR($I40="",$L40=""),"",IF(AND($L40&lt;=TODAY(),$I40&lt;&gt;Settings!$G$14,$I40&lt;&gt;Settings!$G$15),"CALL TODAY",""))</f>
        <v/>
      </c>
      <c r="N40" s="22" t="n"/>
    </row>
    <row r="41">
      <c r="B41" s="21" t="n"/>
      <c r="C41" s="22" t="n"/>
      <c r="D41" s="22" t="n"/>
      <c r="E41" s="22" t="n"/>
      <c r="F41" s="22" t="n"/>
      <c r="G41" s="22" t="n"/>
      <c r="H41" s="23" t="n"/>
      <c r="I41" s="22" t="n"/>
      <c r="J41" s="24">
        <f>IF($I41="","",IFERROR(VLOOKUP($I41,Settings!$G$10:$H$15,2,FALSE),""))</f>
        <v/>
      </c>
      <c r="K41" s="18">
        <f>IF(OR($H41="",$J41=""),"",$H41*$J41)</f>
        <v/>
      </c>
      <c r="L41" s="21" t="n"/>
      <c r="M41" s="25">
        <f>IF(OR($I41="",$L41=""),"",IF(AND($L41&lt;=TODAY(),$I41&lt;&gt;Settings!$G$14,$I41&lt;&gt;Settings!$G$15),"CALL TODAY",""))</f>
        <v/>
      </c>
      <c r="N41" s="22" t="n"/>
    </row>
    <row r="42">
      <c r="B42" s="21" t="n"/>
      <c r="C42" s="22" t="n"/>
      <c r="D42" s="22" t="n"/>
      <c r="E42" s="22" t="n"/>
      <c r="F42" s="22" t="n"/>
      <c r="G42" s="22" t="n"/>
      <c r="H42" s="23" t="n"/>
      <c r="I42" s="22" t="n"/>
      <c r="J42" s="24">
        <f>IF($I42="","",IFERROR(VLOOKUP($I42,Settings!$G$10:$H$15,2,FALSE),""))</f>
        <v/>
      </c>
      <c r="K42" s="18">
        <f>IF(OR($H42="",$J42=""),"",$H42*$J42)</f>
        <v/>
      </c>
      <c r="L42" s="21" t="n"/>
      <c r="M42" s="25">
        <f>IF(OR($I42="",$L42=""),"",IF(AND($L42&lt;=TODAY(),$I42&lt;&gt;Settings!$G$14,$I42&lt;&gt;Settings!$G$15),"CALL TODAY",""))</f>
        <v/>
      </c>
      <c r="N42" s="22" t="n"/>
    </row>
    <row r="43">
      <c r="B43" s="21" t="n"/>
      <c r="C43" s="22" t="n"/>
      <c r="D43" s="22" t="n"/>
      <c r="E43" s="22" t="n"/>
      <c r="F43" s="22" t="n"/>
      <c r="G43" s="22" t="n"/>
      <c r="H43" s="23" t="n"/>
      <c r="I43" s="22" t="n"/>
      <c r="J43" s="24">
        <f>IF($I43="","",IFERROR(VLOOKUP($I43,Settings!$G$10:$H$15,2,FALSE),""))</f>
        <v/>
      </c>
      <c r="K43" s="18">
        <f>IF(OR($H43="",$J43=""),"",$H43*$J43)</f>
        <v/>
      </c>
      <c r="L43" s="21" t="n"/>
      <c r="M43" s="25">
        <f>IF(OR($I43="",$L43=""),"",IF(AND($L43&lt;=TODAY(),$I43&lt;&gt;Settings!$G$14,$I43&lt;&gt;Settings!$G$15),"CALL TODAY",""))</f>
        <v/>
      </c>
      <c r="N43" s="22" t="n"/>
    </row>
    <row r="44">
      <c r="B44" s="21" t="n"/>
      <c r="C44" s="22" t="n"/>
      <c r="D44" s="22" t="n"/>
      <c r="E44" s="22" t="n"/>
      <c r="F44" s="22" t="n"/>
      <c r="G44" s="22" t="n"/>
      <c r="H44" s="23" t="n"/>
      <c r="I44" s="22" t="n"/>
      <c r="J44" s="24">
        <f>IF($I44="","",IFERROR(VLOOKUP($I44,Settings!$G$10:$H$15,2,FALSE),""))</f>
        <v/>
      </c>
      <c r="K44" s="18">
        <f>IF(OR($H44="",$J44=""),"",$H44*$J44)</f>
        <v/>
      </c>
      <c r="L44" s="21" t="n"/>
      <c r="M44" s="25">
        <f>IF(OR($I44="",$L44=""),"",IF(AND($L44&lt;=TODAY(),$I44&lt;&gt;Settings!$G$14,$I44&lt;&gt;Settings!$G$15),"CALL TODAY",""))</f>
        <v/>
      </c>
      <c r="N44" s="22" t="n"/>
    </row>
    <row r="45">
      <c r="B45" s="21" t="n"/>
      <c r="C45" s="22" t="n"/>
      <c r="D45" s="22" t="n"/>
      <c r="E45" s="22" t="n"/>
      <c r="F45" s="22" t="n"/>
      <c r="G45" s="22" t="n"/>
      <c r="H45" s="23" t="n"/>
      <c r="I45" s="22" t="n"/>
      <c r="J45" s="24">
        <f>IF($I45="","",IFERROR(VLOOKUP($I45,Settings!$G$10:$H$15,2,FALSE),""))</f>
        <v/>
      </c>
      <c r="K45" s="18">
        <f>IF(OR($H45="",$J45=""),"",$H45*$J45)</f>
        <v/>
      </c>
      <c r="L45" s="21" t="n"/>
      <c r="M45" s="25">
        <f>IF(OR($I45="",$L45=""),"",IF(AND($L45&lt;=TODAY(),$I45&lt;&gt;Settings!$G$14,$I45&lt;&gt;Settings!$G$15),"CALL TODAY",""))</f>
        <v/>
      </c>
      <c r="N45" s="22" t="n"/>
    </row>
    <row r="46">
      <c r="B46" s="21" t="n"/>
      <c r="C46" s="22" t="n"/>
      <c r="D46" s="22" t="n"/>
      <c r="E46" s="22" t="n"/>
      <c r="F46" s="22" t="n"/>
      <c r="G46" s="22" t="n"/>
      <c r="H46" s="23" t="n"/>
      <c r="I46" s="22" t="n"/>
      <c r="J46" s="24">
        <f>IF($I46="","",IFERROR(VLOOKUP($I46,Settings!$G$10:$H$15,2,FALSE),""))</f>
        <v/>
      </c>
      <c r="K46" s="18">
        <f>IF(OR($H46="",$J46=""),"",$H46*$J46)</f>
        <v/>
      </c>
      <c r="L46" s="21" t="n"/>
      <c r="M46" s="25">
        <f>IF(OR($I46="",$L46=""),"",IF(AND($L46&lt;=TODAY(),$I46&lt;&gt;Settings!$G$14,$I46&lt;&gt;Settings!$G$15),"CALL TODAY",""))</f>
        <v/>
      </c>
      <c r="N46" s="22" t="n"/>
    </row>
    <row r="47">
      <c r="B47" s="21" t="n"/>
      <c r="C47" s="22" t="n"/>
      <c r="D47" s="22" t="n"/>
      <c r="E47" s="22" t="n"/>
      <c r="F47" s="22" t="n"/>
      <c r="G47" s="22" t="n"/>
      <c r="H47" s="23" t="n"/>
      <c r="I47" s="22" t="n"/>
      <c r="J47" s="24">
        <f>IF($I47="","",IFERROR(VLOOKUP($I47,Settings!$G$10:$H$15,2,FALSE),""))</f>
        <v/>
      </c>
      <c r="K47" s="18">
        <f>IF(OR($H47="",$J47=""),"",$H47*$J47)</f>
        <v/>
      </c>
      <c r="L47" s="21" t="n"/>
      <c r="M47" s="25">
        <f>IF(OR($I47="",$L47=""),"",IF(AND($L47&lt;=TODAY(),$I47&lt;&gt;Settings!$G$14,$I47&lt;&gt;Settings!$G$15),"CALL TODAY",""))</f>
        <v/>
      </c>
      <c r="N47" s="22" t="n"/>
    </row>
    <row r="48">
      <c r="B48" s="21" t="n"/>
      <c r="C48" s="22" t="n"/>
      <c r="D48" s="22" t="n"/>
      <c r="E48" s="22" t="n"/>
      <c r="F48" s="22" t="n"/>
      <c r="G48" s="22" t="n"/>
      <c r="H48" s="23" t="n"/>
      <c r="I48" s="22" t="n"/>
      <c r="J48" s="24">
        <f>IF($I48="","",IFERROR(VLOOKUP($I48,Settings!$G$10:$H$15,2,FALSE),""))</f>
        <v/>
      </c>
      <c r="K48" s="18">
        <f>IF(OR($H48="",$J48=""),"",$H48*$J48)</f>
        <v/>
      </c>
      <c r="L48" s="21" t="n"/>
      <c r="M48" s="25">
        <f>IF(OR($I48="",$L48=""),"",IF(AND($L48&lt;=TODAY(),$I48&lt;&gt;Settings!$G$14,$I48&lt;&gt;Settings!$G$15),"CALL TODAY",""))</f>
        <v/>
      </c>
      <c r="N48" s="22" t="n"/>
    </row>
    <row r="49">
      <c r="B49" s="21" t="n"/>
      <c r="C49" s="22" t="n"/>
      <c r="D49" s="22" t="n"/>
      <c r="E49" s="22" t="n"/>
      <c r="F49" s="22" t="n"/>
      <c r="G49" s="22" t="n"/>
      <c r="H49" s="23" t="n"/>
      <c r="I49" s="22" t="n"/>
      <c r="J49" s="24">
        <f>IF($I49="","",IFERROR(VLOOKUP($I49,Settings!$G$10:$H$15,2,FALSE),""))</f>
        <v/>
      </c>
      <c r="K49" s="18">
        <f>IF(OR($H49="",$J49=""),"",$H49*$J49)</f>
        <v/>
      </c>
      <c r="L49" s="21" t="n"/>
      <c r="M49" s="25">
        <f>IF(OR($I49="",$L49=""),"",IF(AND($L49&lt;=TODAY(),$I49&lt;&gt;Settings!$G$14,$I49&lt;&gt;Settings!$G$15),"CALL TODAY",""))</f>
        <v/>
      </c>
      <c r="N49" s="22" t="n"/>
    </row>
    <row r="50">
      <c r="B50" s="21" t="n"/>
      <c r="C50" s="22" t="n"/>
      <c r="D50" s="22" t="n"/>
      <c r="E50" s="22" t="n"/>
      <c r="F50" s="22" t="n"/>
      <c r="G50" s="22" t="n"/>
      <c r="H50" s="23" t="n"/>
      <c r="I50" s="22" t="n"/>
      <c r="J50" s="24">
        <f>IF($I50="","",IFERROR(VLOOKUP($I50,Settings!$G$10:$H$15,2,FALSE),""))</f>
        <v/>
      </c>
      <c r="K50" s="18">
        <f>IF(OR($H50="",$J50=""),"",$H50*$J50)</f>
        <v/>
      </c>
      <c r="L50" s="21" t="n"/>
      <c r="M50" s="25">
        <f>IF(OR($I50="",$L50=""),"",IF(AND($L50&lt;=TODAY(),$I50&lt;&gt;Settings!$G$14,$I50&lt;&gt;Settings!$G$15),"CALL TODAY",""))</f>
        <v/>
      </c>
      <c r="N50" s="22" t="n"/>
    </row>
    <row r="51">
      <c r="B51" s="21" t="n"/>
      <c r="C51" s="22" t="n"/>
      <c r="D51" s="22" t="n"/>
      <c r="E51" s="22" t="n"/>
      <c r="F51" s="22" t="n"/>
      <c r="G51" s="22" t="n"/>
      <c r="H51" s="23" t="n"/>
      <c r="I51" s="22" t="n"/>
      <c r="J51" s="24">
        <f>IF($I51="","",IFERROR(VLOOKUP($I51,Settings!$G$10:$H$15,2,FALSE),""))</f>
        <v/>
      </c>
      <c r="K51" s="18">
        <f>IF(OR($H51="",$J51=""),"",$H51*$J51)</f>
        <v/>
      </c>
      <c r="L51" s="21" t="n"/>
      <c r="M51" s="25">
        <f>IF(OR($I51="",$L51=""),"",IF(AND($L51&lt;=TODAY(),$I51&lt;&gt;Settings!$G$14,$I51&lt;&gt;Settings!$G$15),"CALL TODAY",""))</f>
        <v/>
      </c>
      <c r="N51" s="22" t="n"/>
    </row>
    <row r="52">
      <c r="B52" s="21" t="n"/>
      <c r="C52" s="22" t="n"/>
      <c r="D52" s="22" t="n"/>
      <c r="E52" s="22" t="n"/>
      <c r="F52" s="22" t="n"/>
      <c r="G52" s="22" t="n"/>
      <c r="H52" s="23" t="n"/>
      <c r="I52" s="22" t="n"/>
      <c r="J52" s="24">
        <f>IF($I52="","",IFERROR(VLOOKUP($I52,Settings!$G$10:$H$15,2,FALSE),""))</f>
        <v/>
      </c>
      <c r="K52" s="18">
        <f>IF(OR($H52="",$J52=""),"",$H52*$J52)</f>
        <v/>
      </c>
      <c r="L52" s="21" t="n"/>
      <c r="M52" s="25">
        <f>IF(OR($I52="",$L52=""),"",IF(AND($L52&lt;=TODAY(),$I52&lt;&gt;Settings!$G$14,$I52&lt;&gt;Settings!$G$15),"CALL TODAY",""))</f>
        <v/>
      </c>
      <c r="N52" s="22" t="n"/>
    </row>
    <row r="53">
      <c r="B53" s="21" t="n"/>
      <c r="C53" s="22" t="n"/>
      <c r="D53" s="22" t="n"/>
      <c r="E53" s="22" t="n"/>
      <c r="F53" s="22" t="n"/>
      <c r="G53" s="22" t="n"/>
      <c r="H53" s="23" t="n"/>
      <c r="I53" s="22" t="n"/>
      <c r="J53" s="24">
        <f>IF($I53="","",IFERROR(VLOOKUP($I53,Settings!$G$10:$H$15,2,FALSE),""))</f>
        <v/>
      </c>
      <c r="K53" s="18">
        <f>IF(OR($H53="",$J53=""),"",$H53*$J53)</f>
        <v/>
      </c>
      <c r="L53" s="21" t="n"/>
      <c r="M53" s="25">
        <f>IF(OR($I53="",$L53=""),"",IF(AND($L53&lt;=TODAY(),$I53&lt;&gt;Settings!$G$14,$I53&lt;&gt;Settings!$G$15),"CALL TODAY",""))</f>
        <v/>
      </c>
      <c r="N53" s="22" t="n"/>
    </row>
    <row r="54">
      <c r="B54" s="21" t="n"/>
      <c r="C54" s="22" t="n"/>
      <c r="D54" s="22" t="n"/>
      <c r="E54" s="22" t="n"/>
      <c r="F54" s="22" t="n"/>
      <c r="G54" s="22" t="n"/>
      <c r="H54" s="23" t="n"/>
      <c r="I54" s="22" t="n"/>
      <c r="J54" s="24">
        <f>IF($I54="","",IFERROR(VLOOKUP($I54,Settings!$G$10:$H$15,2,FALSE),""))</f>
        <v/>
      </c>
      <c r="K54" s="18">
        <f>IF(OR($H54="",$J54=""),"",$H54*$J54)</f>
        <v/>
      </c>
      <c r="L54" s="21" t="n"/>
      <c r="M54" s="25">
        <f>IF(OR($I54="",$L54=""),"",IF(AND($L54&lt;=TODAY(),$I54&lt;&gt;Settings!$G$14,$I54&lt;&gt;Settings!$G$15),"CALL TODAY",""))</f>
        <v/>
      </c>
      <c r="N54" s="22" t="n"/>
    </row>
    <row r="55">
      <c r="B55" s="21" t="n"/>
      <c r="C55" s="22" t="n"/>
      <c r="D55" s="22" t="n"/>
      <c r="E55" s="22" t="n"/>
      <c r="F55" s="22" t="n"/>
      <c r="G55" s="22" t="n"/>
      <c r="H55" s="23" t="n"/>
      <c r="I55" s="22" t="n"/>
      <c r="J55" s="24">
        <f>IF($I55="","",IFERROR(VLOOKUP($I55,Settings!$G$10:$H$15,2,FALSE),""))</f>
        <v/>
      </c>
      <c r="K55" s="18">
        <f>IF(OR($H55="",$J55=""),"",$H55*$J55)</f>
        <v/>
      </c>
      <c r="L55" s="21" t="n"/>
      <c r="M55" s="25">
        <f>IF(OR($I55="",$L55=""),"",IF(AND($L55&lt;=TODAY(),$I55&lt;&gt;Settings!$G$14,$I55&lt;&gt;Settings!$G$15),"CALL TODAY",""))</f>
        <v/>
      </c>
      <c r="N55" s="22" t="n"/>
    </row>
    <row r="56">
      <c r="B56" s="21" t="n"/>
      <c r="C56" s="22" t="n"/>
      <c r="D56" s="22" t="n"/>
      <c r="E56" s="22" t="n"/>
      <c r="F56" s="22" t="n"/>
      <c r="G56" s="22" t="n"/>
      <c r="H56" s="23" t="n"/>
      <c r="I56" s="22" t="n"/>
      <c r="J56" s="24">
        <f>IF($I56="","",IFERROR(VLOOKUP($I56,Settings!$G$10:$H$15,2,FALSE),""))</f>
        <v/>
      </c>
      <c r="K56" s="18">
        <f>IF(OR($H56="",$J56=""),"",$H56*$J56)</f>
        <v/>
      </c>
      <c r="L56" s="21" t="n"/>
      <c r="M56" s="25">
        <f>IF(OR($I56="",$L56=""),"",IF(AND($L56&lt;=TODAY(),$I56&lt;&gt;Settings!$G$14,$I56&lt;&gt;Settings!$G$15),"CALL TODAY",""))</f>
        <v/>
      </c>
      <c r="N56" s="22" t="n"/>
    </row>
    <row r="57">
      <c r="B57" s="21" t="n"/>
      <c r="C57" s="22" t="n"/>
      <c r="D57" s="22" t="n"/>
      <c r="E57" s="22" t="n"/>
      <c r="F57" s="22" t="n"/>
      <c r="G57" s="22" t="n"/>
      <c r="H57" s="23" t="n"/>
      <c r="I57" s="22" t="n"/>
      <c r="J57" s="24">
        <f>IF($I57="","",IFERROR(VLOOKUP($I57,Settings!$G$10:$H$15,2,FALSE),""))</f>
        <v/>
      </c>
      <c r="K57" s="18">
        <f>IF(OR($H57="",$J57=""),"",$H57*$J57)</f>
        <v/>
      </c>
      <c r="L57" s="21" t="n"/>
      <c r="M57" s="25">
        <f>IF(OR($I57="",$L57=""),"",IF(AND($L57&lt;=TODAY(),$I57&lt;&gt;Settings!$G$14,$I57&lt;&gt;Settings!$G$15),"CALL TODAY",""))</f>
        <v/>
      </c>
      <c r="N57" s="22" t="n"/>
    </row>
    <row r="58">
      <c r="B58" s="21" t="n"/>
      <c r="C58" s="22" t="n"/>
      <c r="D58" s="22" t="n"/>
      <c r="E58" s="22" t="n"/>
      <c r="F58" s="22" t="n"/>
      <c r="G58" s="22" t="n"/>
      <c r="H58" s="23" t="n"/>
      <c r="I58" s="22" t="n"/>
      <c r="J58" s="24">
        <f>IF($I58="","",IFERROR(VLOOKUP($I58,Settings!$G$10:$H$15,2,FALSE),""))</f>
        <v/>
      </c>
      <c r="K58" s="18">
        <f>IF(OR($H58="",$J58=""),"",$H58*$J58)</f>
        <v/>
      </c>
      <c r="L58" s="21" t="n"/>
      <c r="M58" s="25">
        <f>IF(OR($I58="",$L58=""),"",IF(AND($L58&lt;=TODAY(),$I58&lt;&gt;Settings!$G$14,$I58&lt;&gt;Settings!$G$15),"CALL TODAY",""))</f>
        <v/>
      </c>
      <c r="N58" s="22" t="n"/>
    </row>
    <row r="59">
      <c r="B59" s="21" t="n"/>
      <c r="C59" s="22" t="n"/>
      <c r="D59" s="22" t="n"/>
      <c r="E59" s="22" t="n"/>
      <c r="F59" s="22" t="n"/>
      <c r="G59" s="22" t="n"/>
      <c r="H59" s="23" t="n"/>
      <c r="I59" s="22" t="n"/>
      <c r="J59" s="24">
        <f>IF($I59="","",IFERROR(VLOOKUP($I59,Settings!$G$10:$H$15,2,FALSE),""))</f>
        <v/>
      </c>
      <c r="K59" s="18">
        <f>IF(OR($H59="",$J59=""),"",$H59*$J59)</f>
        <v/>
      </c>
      <c r="L59" s="21" t="n"/>
      <c r="M59" s="25">
        <f>IF(OR($I59="",$L59=""),"",IF(AND($L59&lt;=TODAY(),$I59&lt;&gt;Settings!$G$14,$I59&lt;&gt;Settings!$G$15),"CALL TODAY",""))</f>
        <v/>
      </c>
      <c r="N59" s="22" t="n"/>
    </row>
    <row r="60">
      <c r="B60" s="21" t="n"/>
      <c r="C60" s="22" t="n"/>
      <c r="D60" s="22" t="n"/>
      <c r="E60" s="22" t="n"/>
      <c r="F60" s="22" t="n"/>
      <c r="G60" s="22" t="n"/>
      <c r="H60" s="23" t="n"/>
      <c r="I60" s="22" t="n"/>
      <c r="J60" s="24">
        <f>IF($I60="","",IFERROR(VLOOKUP($I60,Settings!$G$10:$H$15,2,FALSE),""))</f>
        <v/>
      </c>
      <c r="K60" s="18">
        <f>IF(OR($H60="",$J60=""),"",$H60*$J60)</f>
        <v/>
      </c>
      <c r="L60" s="21" t="n"/>
      <c r="M60" s="25">
        <f>IF(OR($I60="",$L60=""),"",IF(AND($L60&lt;=TODAY(),$I60&lt;&gt;Settings!$G$14,$I60&lt;&gt;Settings!$G$15),"CALL TODAY",""))</f>
        <v/>
      </c>
      <c r="N60" s="22" t="n"/>
    </row>
    <row r="61">
      <c r="B61" s="21" t="n"/>
      <c r="C61" s="22" t="n"/>
      <c r="D61" s="22" t="n"/>
      <c r="E61" s="22" t="n"/>
      <c r="F61" s="22" t="n"/>
      <c r="G61" s="22" t="n"/>
      <c r="H61" s="23" t="n"/>
      <c r="I61" s="22" t="n"/>
      <c r="J61" s="24">
        <f>IF($I61="","",IFERROR(VLOOKUP($I61,Settings!$G$10:$H$15,2,FALSE),""))</f>
        <v/>
      </c>
      <c r="K61" s="18">
        <f>IF(OR($H61="",$J61=""),"",$H61*$J61)</f>
        <v/>
      </c>
      <c r="L61" s="21" t="n"/>
      <c r="M61" s="25">
        <f>IF(OR($I61="",$L61=""),"",IF(AND($L61&lt;=TODAY(),$I61&lt;&gt;Settings!$G$14,$I61&lt;&gt;Settings!$G$15),"CALL TODAY",""))</f>
        <v/>
      </c>
      <c r="N61" s="22" t="n"/>
    </row>
    <row r="62">
      <c r="B62" s="21" t="n"/>
      <c r="C62" s="22" t="n"/>
      <c r="D62" s="22" t="n"/>
      <c r="E62" s="22" t="n"/>
      <c r="F62" s="22" t="n"/>
      <c r="G62" s="22" t="n"/>
      <c r="H62" s="23" t="n"/>
      <c r="I62" s="22" t="n"/>
      <c r="J62" s="24">
        <f>IF($I62="","",IFERROR(VLOOKUP($I62,Settings!$G$10:$H$15,2,FALSE),""))</f>
        <v/>
      </c>
      <c r="K62" s="18">
        <f>IF(OR($H62="",$J62=""),"",$H62*$J62)</f>
        <v/>
      </c>
      <c r="L62" s="21" t="n"/>
      <c r="M62" s="25">
        <f>IF(OR($I62="",$L62=""),"",IF(AND($L62&lt;=TODAY(),$I62&lt;&gt;Settings!$G$14,$I62&lt;&gt;Settings!$G$15),"CALL TODAY",""))</f>
        <v/>
      </c>
      <c r="N62" s="22" t="n"/>
    </row>
    <row r="63">
      <c r="B63" s="21" t="n"/>
      <c r="C63" s="22" t="n"/>
      <c r="D63" s="22" t="n"/>
      <c r="E63" s="22" t="n"/>
      <c r="F63" s="22" t="n"/>
      <c r="G63" s="22" t="n"/>
      <c r="H63" s="23" t="n"/>
      <c r="I63" s="22" t="n"/>
      <c r="J63" s="24">
        <f>IF($I63="","",IFERROR(VLOOKUP($I63,Settings!$G$10:$H$15,2,FALSE),""))</f>
        <v/>
      </c>
      <c r="K63" s="18">
        <f>IF(OR($H63="",$J63=""),"",$H63*$J63)</f>
        <v/>
      </c>
      <c r="L63" s="21" t="n"/>
      <c r="M63" s="25">
        <f>IF(OR($I63="",$L63=""),"",IF(AND($L63&lt;=TODAY(),$I63&lt;&gt;Settings!$G$14,$I63&lt;&gt;Settings!$G$15),"CALL TODAY",""))</f>
        <v/>
      </c>
      <c r="N63" s="22" t="n"/>
    </row>
    <row r="64">
      <c r="B64" s="21" t="n"/>
      <c r="C64" s="22" t="n"/>
      <c r="D64" s="22" t="n"/>
      <c r="E64" s="22" t="n"/>
      <c r="F64" s="22" t="n"/>
      <c r="G64" s="22" t="n"/>
      <c r="H64" s="23" t="n"/>
      <c r="I64" s="22" t="n"/>
      <c r="J64" s="24">
        <f>IF($I64="","",IFERROR(VLOOKUP($I64,Settings!$G$10:$H$15,2,FALSE),""))</f>
        <v/>
      </c>
      <c r="K64" s="18">
        <f>IF(OR($H64="",$J64=""),"",$H64*$J64)</f>
        <v/>
      </c>
      <c r="L64" s="21" t="n"/>
      <c r="M64" s="25">
        <f>IF(OR($I64="",$L64=""),"",IF(AND($L64&lt;=TODAY(),$I64&lt;&gt;Settings!$G$14,$I64&lt;&gt;Settings!$G$15),"CALL TODAY",""))</f>
        <v/>
      </c>
      <c r="N64" s="22" t="n"/>
    </row>
    <row r="65">
      <c r="B65" s="21" t="n"/>
      <c r="C65" s="22" t="n"/>
      <c r="D65" s="22" t="n"/>
      <c r="E65" s="22" t="n"/>
      <c r="F65" s="22" t="n"/>
      <c r="G65" s="22" t="n"/>
      <c r="H65" s="23" t="n"/>
      <c r="I65" s="22" t="n"/>
      <c r="J65" s="24">
        <f>IF($I65="","",IFERROR(VLOOKUP($I65,Settings!$G$10:$H$15,2,FALSE),""))</f>
        <v/>
      </c>
      <c r="K65" s="18">
        <f>IF(OR($H65="",$J65=""),"",$H65*$J65)</f>
        <v/>
      </c>
      <c r="L65" s="21" t="n"/>
      <c r="M65" s="25">
        <f>IF(OR($I65="",$L65=""),"",IF(AND($L65&lt;=TODAY(),$I65&lt;&gt;Settings!$G$14,$I65&lt;&gt;Settings!$G$15),"CALL TODAY",""))</f>
        <v/>
      </c>
      <c r="N65" s="22" t="n"/>
    </row>
    <row r="66">
      <c r="B66" s="21" t="n"/>
      <c r="C66" s="22" t="n"/>
      <c r="D66" s="22" t="n"/>
      <c r="E66" s="22" t="n"/>
      <c r="F66" s="22" t="n"/>
      <c r="G66" s="22" t="n"/>
      <c r="H66" s="23" t="n"/>
      <c r="I66" s="22" t="n"/>
      <c r="J66" s="24">
        <f>IF($I66="","",IFERROR(VLOOKUP($I66,Settings!$G$10:$H$15,2,FALSE),""))</f>
        <v/>
      </c>
      <c r="K66" s="18">
        <f>IF(OR($H66="",$J66=""),"",$H66*$J66)</f>
        <v/>
      </c>
      <c r="L66" s="21" t="n"/>
      <c r="M66" s="25">
        <f>IF(OR($I66="",$L66=""),"",IF(AND($L66&lt;=TODAY(),$I66&lt;&gt;Settings!$G$14,$I66&lt;&gt;Settings!$G$15),"CALL TODAY",""))</f>
        <v/>
      </c>
      <c r="N66" s="22" t="n"/>
    </row>
    <row r="67">
      <c r="B67" s="21" t="n"/>
      <c r="C67" s="22" t="n"/>
      <c r="D67" s="22" t="n"/>
      <c r="E67" s="22" t="n"/>
      <c r="F67" s="22" t="n"/>
      <c r="G67" s="22" t="n"/>
      <c r="H67" s="23" t="n"/>
      <c r="I67" s="22" t="n"/>
      <c r="J67" s="24">
        <f>IF($I67="","",IFERROR(VLOOKUP($I67,Settings!$G$10:$H$15,2,FALSE),""))</f>
        <v/>
      </c>
      <c r="K67" s="18">
        <f>IF(OR($H67="",$J67=""),"",$H67*$J67)</f>
        <v/>
      </c>
      <c r="L67" s="21" t="n"/>
      <c r="M67" s="25">
        <f>IF(OR($I67="",$L67=""),"",IF(AND($L67&lt;=TODAY(),$I67&lt;&gt;Settings!$G$14,$I67&lt;&gt;Settings!$G$15),"CALL TODAY",""))</f>
        <v/>
      </c>
      <c r="N67" s="22" t="n"/>
    </row>
    <row r="68">
      <c r="B68" s="21" t="n"/>
      <c r="C68" s="22" t="n"/>
      <c r="D68" s="22" t="n"/>
      <c r="E68" s="22" t="n"/>
      <c r="F68" s="22" t="n"/>
      <c r="G68" s="22" t="n"/>
      <c r="H68" s="23" t="n"/>
      <c r="I68" s="22" t="n"/>
      <c r="J68" s="24">
        <f>IF($I68="","",IFERROR(VLOOKUP($I68,Settings!$G$10:$H$15,2,FALSE),""))</f>
        <v/>
      </c>
      <c r="K68" s="18">
        <f>IF(OR($H68="",$J68=""),"",$H68*$J68)</f>
        <v/>
      </c>
      <c r="L68" s="21" t="n"/>
      <c r="M68" s="25">
        <f>IF(OR($I68="",$L68=""),"",IF(AND($L68&lt;=TODAY(),$I68&lt;&gt;Settings!$G$14,$I68&lt;&gt;Settings!$G$15),"CALL TODAY",""))</f>
        <v/>
      </c>
      <c r="N68" s="22" t="n"/>
    </row>
    <row r="69">
      <c r="B69" s="21" t="n"/>
      <c r="C69" s="22" t="n"/>
      <c r="D69" s="22" t="n"/>
      <c r="E69" s="22" t="n"/>
      <c r="F69" s="22" t="n"/>
      <c r="G69" s="22" t="n"/>
      <c r="H69" s="23" t="n"/>
      <c r="I69" s="22" t="n"/>
      <c r="J69" s="24">
        <f>IF($I69="","",IFERROR(VLOOKUP($I69,Settings!$G$10:$H$15,2,FALSE),""))</f>
        <v/>
      </c>
      <c r="K69" s="18">
        <f>IF(OR($H69="",$J69=""),"",$H69*$J69)</f>
        <v/>
      </c>
      <c r="L69" s="21" t="n"/>
      <c r="M69" s="25">
        <f>IF(OR($I69="",$L69=""),"",IF(AND($L69&lt;=TODAY(),$I69&lt;&gt;Settings!$G$14,$I69&lt;&gt;Settings!$G$15),"CALL TODAY",""))</f>
        <v/>
      </c>
      <c r="N69" s="22" t="n"/>
    </row>
    <row r="70">
      <c r="B70" s="21" t="n"/>
      <c r="C70" s="22" t="n"/>
      <c r="D70" s="22" t="n"/>
      <c r="E70" s="22" t="n"/>
      <c r="F70" s="22" t="n"/>
      <c r="G70" s="22" t="n"/>
      <c r="H70" s="23" t="n"/>
      <c r="I70" s="22" t="n"/>
      <c r="J70" s="24">
        <f>IF($I70="","",IFERROR(VLOOKUP($I70,Settings!$G$10:$H$15,2,FALSE),""))</f>
        <v/>
      </c>
      <c r="K70" s="18">
        <f>IF(OR($H70="",$J70=""),"",$H70*$J70)</f>
        <v/>
      </c>
      <c r="L70" s="21" t="n"/>
      <c r="M70" s="25">
        <f>IF(OR($I70="",$L70=""),"",IF(AND($L70&lt;=TODAY(),$I70&lt;&gt;Settings!$G$14,$I70&lt;&gt;Settings!$G$15),"CALL TODAY",""))</f>
        <v/>
      </c>
      <c r="N70" s="22" t="n"/>
    </row>
    <row r="71">
      <c r="B71" s="21" t="n"/>
      <c r="C71" s="22" t="n"/>
      <c r="D71" s="22" t="n"/>
      <c r="E71" s="22" t="n"/>
      <c r="F71" s="22" t="n"/>
      <c r="G71" s="22" t="n"/>
      <c r="H71" s="23" t="n"/>
      <c r="I71" s="22" t="n"/>
      <c r="J71" s="24">
        <f>IF($I71="","",IFERROR(VLOOKUP($I71,Settings!$G$10:$H$15,2,FALSE),""))</f>
        <v/>
      </c>
      <c r="K71" s="18">
        <f>IF(OR($H71="",$J71=""),"",$H71*$J71)</f>
        <v/>
      </c>
      <c r="L71" s="21" t="n"/>
      <c r="M71" s="25">
        <f>IF(OR($I71="",$L71=""),"",IF(AND($L71&lt;=TODAY(),$I71&lt;&gt;Settings!$G$14,$I71&lt;&gt;Settings!$G$15),"CALL TODAY",""))</f>
        <v/>
      </c>
      <c r="N71" s="22" t="n"/>
    </row>
    <row r="72">
      <c r="B72" s="21" t="n"/>
      <c r="C72" s="22" t="n"/>
      <c r="D72" s="22" t="n"/>
      <c r="E72" s="22" t="n"/>
      <c r="F72" s="22" t="n"/>
      <c r="G72" s="22" t="n"/>
      <c r="H72" s="23" t="n"/>
      <c r="I72" s="22" t="n"/>
      <c r="J72" s="24">
        <f>IF($I72="","",IFERROR(VLOOKUP($I72,Settings!$G$10:$H$15,2,FALSE),""))</f>
        <v/>
      </c>
      <c r="K72" s="18">
        <f>IF(OR($H72="",$J72=""),"",$H72*$J72)</f>
        <v/>
      </c>
      <c r="L72" s="21" t="n"/>
      <c r="M72" s="25">
        <f>IF(OR($I72="",$L72=""),"",IF(AND($L72&lt;=TODAY(),$I72&lt;&gt;Settings!$G$14,$I72&lt;&gt;Settings!$G$15),"CALL TODAY",""))</f>
        <v/>
      </c>
      <c r="N72" s="22" t="n"/>
    </row>
    <row r="73">
      <c r="B73" s="21" t="n"/>
      <c r="C73" s="22" t="n"/>
      <c r="D73" s="22" t="n"/>
      <c r="E73" s="22" t="n"/>
      <c r="F73" s="22" t="n"/>
      <c r="G73" s="22" t="n"/>
      <c r="H73" s="23" t="n"/>
      <c r="I73" s="22" t="n"/>
      <c r="J73" s="24">
        <f>IF($I73="","",IFERROR(VLOOKUP($I73,Settings!$G$10:$H$15,2,FALSE),""))</f>
        <v/>
      </c>
      <c r="K73" s="18">
        <f>IF(OR($H73="",$J73=""),"",$H73*$J73)</f>
        <v/>
      </c>
      <c r="L73" s="21" t="n"/>
      <c r="M73" s="25">
        <f>IF(OR($I73="",$L73=""),"",IF(AND($L73&lt;=TODAY(),$I73&lt;&gt;Settings!$G$14,$I73&lt;&gt;Settings!$G$15),"CALL TODAY",""))</f>
        <v/>
      </c>
      <c r="N73" s="22" t="n"/>
    </row>
    <row r="74">
      <c r="B74" s="21" t="n"/>
      <c r="C74" s="22" t="n"/>
      <c r="D74" s="22" t="n"/>
      <c r="E74" s="22" t="n"/>
      <c r="F74" s="22" t="n"/>
      <c r="G74" s="22" t="n"/>
      <c r="H74" s="23" t="n"/>
      <c r="I74" s="22" t="n"/>
      <c r="J74" s="24">
        <f>IF($I74="","",IFERROR(VLOOKUP($I74,Settings!$G$10:$H$15,2,FALSE),""))</f>
        <v/>
      </c>
      <c r="K74" s="18">
        <f>IF(OR($H74="",$J74=""),"",$H74*$J74)</f>
        <v/>
      </c>
      <c r="L74" s="21" t="n"/>
      <c r="M74" s="25">
        <f>IF(OR($I74="",$L74=""),"",IF(AND($L74&lt;=TODAY(),$I74&lt;&gt;Settings!$G$14,$I74&lt;&gt;Settings!$G$15),"CALL TODAY",""))</f>
        <v/>
      </c>
      <c r="N74" s="22" t="n"/>
    </row>
    <row r="75">
      <c r="B75" s="21" t="n"/>
      <c r="C75" s="22" t="n"/>
      <c r="D75" s="22" t="n"/>
      <c r="E75" s="22" t="n"/>
      <c r="F75" s="22" t="n"/>
      <c r="G75" s="22" t="n"/>
      <c r="H75" s="23" t="n"/>
      <c r="I75" s="22" t="n"/>
      <c r="J75" s="24">
        <f>IF($I75="","",IFERROR(VLOOKUP($I75,Settings!$G$10:$H$15,2,FALSE),""))</f>
        <v/>
      </c>
      <c r="K75" s="18">
        <f>IF(OR($H75="",$J75=""),"",$H75*$J75)</f>
        <v/>
      </c>
      <c r="L75" s="21" t="n"/>
      <c r="M75" s="25">
        <f>IF(OR($I75="",$L75=""),"",IF(AND($L75&lt;=TODAY(),$I75&lt;&gt;Settings!$G$14,$I75&lt;&gt;Settings!$G$15),"CALL TODAY",""))</f>
        <v/>
      </c>
      <c r="N75" s="22" t="n"/>
    </row>
    <row r="76">
      <c r="B76" s="21" t="n"/>
      <c r="C76" s="22" t="n"/>
      <c r="D76" s="22" t="n"/>
      <c r="E76" s="22" t="n"/>
      <c r="F76" s="22" t="n"/>
      <c r="G76" s="22" t="n"/>
      <c r="H76" s="23" t="n"/>
      <c r="I76" s="22" t="n"/>
      <c r="J76" s="24">
        <f>IF($I76="","",IFERROR(VLOOKUP($I76,Settings!$G$10:$H$15,2,FALSE),""))</f>
        <v/>
      </c>
      <c r="K76" s="18">
        <f>IF(OR($H76="",$J76=""),"",$H76*$J76)</f>
        <v/>
      </c>
      <c r="L76" s="21" t="n"/>
      <c r="M76" s="25">
        <f>IF(OR($I76="",$L76=""),"",IF(AND($L76&lt;=TODAY(),$I76&lt;&gt;Settings!$G$14,$I76&lt;&gt;Settings!$G$15),"CALL TODAY",""))</f>
        <v/>
      </c>
      <c r="N76" s="22" t="n"/>
    </row>
    <row r="77">
      <c r="B77" s="21" t="n"/>
      <c r="C77" s="22" t="n"/>
      <c r="D77" s="22" t="n"/>
      <c r="E77" s="22" t="n"/>
      <c r="F77" s="22" t="n"/>
      <c r="G77" s="22" t="n"/>
      <c r="H77" s="23" t="n"/>
      <c r="I77" s="22" t="n"/>
      <c r="J77" s="24">
        <f>IF($I77="","",IFERROR(VLOOKUP($I77,Settings!$G$10:$H$15,2,FALSE),""))</f>
        <v/>
      </c>
      <c r="K77" s="18">
        <f>IF(OR($H77="",$J77=""),"",$H77*$J77)</f>
        <v/>
      </c>
      <c r="L77" s="21" t="n"/>
      <c r="M77" s="25">
        <f>IF(OR($I77="",$L77=""),"",IF(AND($L77&lt;=TODAY(),$I77&lt;&gt;Settings!$G$14,$I77&lt;&gt;Settings!$G$15),"CALL TODAY",""))</f>
        <v/>
      </c>
      <c r="N77" s="22" t="n"/>
    </row>
    <row r="78">
      <c r="B78" s="21" t="n"/>
      <c r="C78" s="22" t="n"/>
      <c r="D78" s="22" t="n"/>
      <c r="E78" s="22" t="n"/>
      <c r="F78" s="22" t="n"/>
      <c r="G78" s="22" t="n"/>
      <c r="H78" s="23" t="n"/>
      <c r="I78" s="22" t="n"/>
      <c r="J78" s="24">
        <f>IF($I78="","",IFERROR(VLOOKUP($I78,Settings!$G$10:$H$15,2,FALSE),""))</f>
        <v/>
      </c>
      <c r="K78" s="18">
        <f>IF(OR($H78="",$J78=""),"",$H78*$J78)</f>
        <v/>
      </c>
      <c r="L78" s="21" t="n"/>
      <c r="M78" s="25">
        <f>IF(OR($I78="",$L78=""),"",IF(AND($L78&lt;=TODAY(),$I78&lt;&gt;Settings!$G$14,$I78&lt;&gt;Settings!$G$15),"CALL TODAY",""))</f>
        <v/>
      </c>
      <c r="N78" s="22" t="n"/>
    </row>
    <row r="79">
      <c r="B79" s="21" t="n"/>
      <c r="C79" s="22" t="n"/>
      <c r="D79" s="22" t="n"/>
      <c r="E79" s="22" t="n"/>
      <c r="F79" s="22" t="n"/>
      <c r="G79" s="22" t="n"/>
      <c r="H79" s="23" t="n"/>
      <c r="I79" s="22" t="n"/>
      <c r="J79" s="24">
        <f>IF($I79="","",IFERROR(VLOOKUP($I79,Settings!$G$10:$H$15,2,FALSE),""))</f>
        <v/>
      </c>
      <c r="K79" s="18">
        <f>IF(OR($H79="",$J79=""),"",$H79*$J79)</f>
        <v/>
      </c>
      <c r="L79" s="21" t="n"/>
      <c r="M79" s="25">
        <f>IF(OR($I79="",$L79=""),"",IF(AND($L79&lt;=TODAY(),$I79&lt;&gt;Settings!$G$14,$I79&lt;&gt;Settings!$G$15),"CALL TODAY",""))</f>
        <v/>
      </c>
      <c r="N79" s="22" t="n"/>
    </row>
    <row r="80">
      <c r="B80" s="21" t="n"/>
      <c r="C80" s="22" t="n"/>
      <c r="D80" s="22" t="n"/>
      <c r="E80" s="22" t="n"/>
      <c r="F80" s="22" t="n"/>
      <c r="G80" s="22" t="n"/>
      <c r="H80" s="23" t="n"/>
      <c r="I80" s="22" t="n"/>
      <c r="J80" s="24">
        <f>IF($I80="","",IFERROR(VLOOKUP($I80,Settings!$G$10:$H$15,2,FALSE),""))</f>
        <v/>
      </c>
      <c r="K80" s="18">
        <f>IF(OR($H80="",$J80=""),"",$H80*$J80)</f>
        <v/>
      </c>
      <c r="L80" s="21" t="n"/>
      <c r="M80" s="25">
        <f>IF(OR($I80="",$L80=""),"",IF(AND($L80&lt;=TODAY(),$I80&lt;&gt;Settings!$G$14,$I80&lt;&gt;Settings!$G$15),"CALL TODAY",""))</f>
        <v/>
      </c>
      <c r="N80" s="22" t="n"/>
    </row>
    <row r="81">
      <c r="B81" s="21" t="n"/>
      <c r="C81" s="22" t="n"/>
      <c r="D81" s="22" t="n"/>
      <c r="E81" s="22" t="n"/>
      <c r="F81" s="22" t="n"/>
      <c r="G81" s="22" t="n"/>
      <c r="H81" s="23" t="n"/>
      <c r="I81" s="22" t="n"/>
      <c r="J81" s="24">
        <f>IF($I81="","",IFERROR(VLOOKUP($I81,Settings!$G$10:$H$15,2,FALSE),""))</f>
        <v/>
      </c>
      <c r="K81" s="18">
        <f>IF(OR($H81="",$J81=""),"",$H81*$J81)</f>
        <v/>
      </c>
      <c r="L81" s="21" t="n"/>
      <c r="M81" s="25">
        <f>IF(OR($I81="",$L81=""),"",IF(AND($L81&lt;=TODAY(),$I81&lt;&gt;Settings!$G$14,$I81&lt;&gt;Settings!$G$15),"CALL TODAY",""))</f>
        <v/>
      </c>
      <c r="N81" s="22" t="n"/>
    </row>
    <row r="82">
      <c r="B82" s="21" t="n"/>
      <c r="C82" s="22" t="n"/>
      <c r="D82" s="22" t="n"/>
      <c r="E82" s="22" t="n"/>
      <c r="F82" s="22" t="n"/>
      <c r="G82" s="22" t="n"/>
      <c r="H82" s="23" t="n"/>
      <c r="I82" s="22" t="n"/>
      <c r="J82" s="24">
        <f>IF($I82="","",IFERROR(VLOOKUP($I82,Settings!$G$10:$H$15,2,FALSE),""))</f>
        <v/>
      </c>
      <c r="K82" s="18">
        <f>IF(OR($H82="",$J82=""),"",$H82*$J82)</f>
        <v/>
      </c>
      <c r="L82" s="21" t="n"/>
      <c r="M82" s="25">
        <f>IF(OR($I82="",$L82=""),"",IF(AND($L82&lt;=TODAY(),$I82&lt;&gt;Settings!$G$14,$I82&lt;&gt;Settings!$G$15),"CALL TODAY",""))</f>
        <v/>
      </c>
      <c r="N82" s="22" t="n"/>
    </row>
    <row r="83">
      <c r="B83" s="21" t="n"/>
      <c r="C83" s="22" t="n"/>
      <c r="D83" s="22" t="n"/>
      <c r="E83" s="22" t="n"/>
      <c r="F83" s="22" t="n"/>
      <c r="G83" s="22" t="n"/>
      <c r="H83" s="23" t="n"/>
      <c r="I83" s="22" t="n"/>
      <c r="J83" s="24">
        <f>IF($I83="","",IFERROR(VLOOKUP($I83,Settings!$G$10:$H$15,2,FALSE),""))</f>
        <v/>
      </c>
      <c r="K83" s="18">
        <f>IF(OR($H83="",$J83=""),"",$H83*$J83)</f>
        <v/>
      </c>
      <c r="L83" s="21" t="n"/>
      <c r="M83" s="25">
        <f>IF(OR($I83="",$L83=""),"",IF(AND($L83&lt;=TODAY(),$I83&lt;&gt;Settings!$G$14,$I83&lt;&gt;Settings!$G$15),"CALL TODAY",""))</f>
        <v/>
      </c>
      <c r="N83" s="22" t="n"/>
    </row>
    <row r="84">
      <c r="B84" s="21" t="n"/>
      <c r="C84" s="22" t="n"/>
      <c r="D84" s="22" t="n"/>
      <c r="E84" s="22" t="n"/>
      <c r="F84" s="22" t="n"/>
      <c r="G84" s="22" t="n"/>
      <c r="H84" s="23" t="n"/>
      <c r="I84" s="22" t="n"/>
      <c r="J84" s="24">
        <f>IF($I84="","",IFERROR(VLOOKUP($I84,Settings!$G$10:$H$15,2,FALSE),""))</f>
        <v/>
      </c>
      <c r="K84" s="18">
        <f>IF(OR($H84="",$J84=""),"",$H84*$J84)</f>
        <v/>
      </c>
      <c r="L84" s="21" t="n"/>
      <c r="M84" s="25">
        <f>IF(OR($I84="",$L84=""),"",IF(AND($L84&lt;=TODAY(),$I84&lt;&gt;Settings!$G$14,$I84&lt;&gt;Settings!$G$15),"CALL TODAY",""))</f>
        <v/>
      </c>
      <c r="N84" s="22" t="n"/>
    </row>
    <row r="85">
      <c r="B85" s="21" t="n"/>
      <c r="C85" s="22" t="n"/>
      <c r="D85" s="22" t="n"/>
      <c r="E85" s="22" t="n"/>
      <c r="F85" s="22" t="n"/>
      <c r="G85" s="22" t="n"/>
      <c r="H85" s="23" t="n"/>
      <c r="I85" s="22" t="n"/>
      <c r="J85" s="24">
        <f>IF($I85="","",IFERROR(VLOOKUP($I85,Settings!$G$10:$H$15,2,FALSE),""))</f>
        <v/>
      </c>
      <c r="K85" s="18">
        <f>IF(OR($H85="",$J85=""),"",$H85*$J85)</f>
        <v/>
      </c>
      <c r="L85" s="21" t="n"/>
      <c r="M85" s="25">
        <f>IF(OR($I85="",$L85=""),"",IF(AND($L85&lt;=TODAY(),$I85&lt;&gt;Settings!$G$14,$I85&lt;&gt;Settings!$G$15),"CALL TODAY",""))</f>
        <v/>
      </c>
      <c r="N85" s="22" t="n"/>
    </row>
    <row r="86">
      <c r="B86" s="21" t="n"/>
      <c r="C86" s="22" t="n"/>
      <c r="D86" s="22" t="n"/>
      <c r="E86" s="22" t="n"/>
      <c r="F86" s="22" t="n"/>
      <c r="G86" s="22" t="n"/>
      <c r="H86" s="23" t="n"/>
      <c r="I86" s="22" t="n"/>
      <c r="J86" s="24">
        <f>IF($I86="","",IFERROR(VLOOKUP($I86,Settings!$G$10:$H$15,2,FALSE),""))</f>
        <v/>
      </c>
      <c r="K86" s="18">
        <f>IF(OR($H86="",$J86=""),"",$H86*$J86)</f>
        <v/>
      </c>
      <c r="L86" s="21" t="n"/>
      <c r="M86" s="25">
        <f>IF(OR($I86="",$L86=""),"",IF(AND($L86&lt;=TODAY(),$I86&lt;&gt;Settings!$G$14,$I86&lt;&gt;Settings!$G$15),"CALL TODAY",""))</f>
        <v/>
      </c>
      <c r="N86" s="22" t="n"/>
    </row>
    <row r="87">
      <c r="B87" s="21" t="n"/>
      <c r="C87" s="22" t="n"/>
      <c r="D87" s="22" t="n"/>
      <c r="E87" s="22" t="n"/>
      <c r="F87" s="22" t="n"/>
      <c r="G87" s="22" t="n"/>
      <c r="H87" s="23" t="n"/>
      <c r="I87" s="22" t="n"/>
      <c r="J87" s="24">
        <f>IF($I87="","",IFERROR(VLOOKUP($I87,Settings!$G$10:$H$15,2,FALSE),""))</f>
        <v/>
      </c>
      <c r="K87" s="18">
        <f>IF(OR($H87="",$J87=""),"",$H87*$J87)</f>
        <v/>
      </c>
      <c r="L87" s="21" t="n"/>
      <c r="M87" s="25">
        <f>IF(OR($I87="",$L87=""),"",IF(AND($L87&lt;=TODAY(),$I87&lt;&gt;Settings!$G$14,$I87&lt;&gt;Settings!$G$15),"CALL TODAY",""))</f>
        <v/>
      </c>
      <c r="N87" s="22" t="n"/>
    </row>
    <row r="88">
      <c r="B88" s="21" t="n"/>
      <c r="C88" s="22" t="n"/>
      <c r="D88" s="22" t="n"/>
      <c r="E88" s="22" t="n"/>
      <c r="F88" s="22" t="n"/>
      <c r="G88" s="22" t="n"/>
      <c r="H88" s="23" t="n"/>
      <c r="I88" s="22" t="n"/>
      <c r="J88" s="24">
        <f>IF($I88="","",IFERROR(VLOOKUP($I88,Settings!$G$10:$H$15,2,FALSE),""))</f>
        <v/>
      </c>
      <c r="K88" s="18">
        <f>IF(OR($H88="",$J88=""),"",$H88*$J88)</f>
        <v/>
      </c>
      <c r="L88" s="21" t="n"/>
      <c r="M88" s="25">
        <f>IF(OR($I88="",$L88=""),"",IF(AND($L88&lt;=TODAY(),$I88&lt;&gt;Settings!$G$14,$I88&lt;&gt;Settings!$G$15),"CALL TODAY",""))</f>
        <v/>
      </c>
      <c r="N88" s="22" t="n"/>
    </row>
    <row r="89">
      <c r="B89" s="21" t="n"/>
      <c r="C89" s="22" t="n"/>
      <c r="D89" s="22" t="n"/>
      <c r="E89" s="22" t="n"/>
      <c r="F89" s="22" t="n"/>
      <c r="G89" s="22" t="n"/>
      <c r="H89" s="23" t="n"/>
      <c r="I89" s="22" t="n"/>
      <c r="J89" s="24">
        <f>IF($I89="","",IFERROR(VLOOKUP($I89,Settings!$G$10:$H$15,2,FALSE),""))</f>
        <v/>
      </c>
      <c r="K89" s="18">
        <f>IF(OR($H89="",$J89=""),"",$H89*$J89)</f>
        <v/>
      </c>
      <c r="L89" s="21" t="n"/>
      <c r="M89" s="25">
        <f>IF(OR($I89="",$L89=""),"",IF(AND($L89&lt;=TODAY(),$I89&lt;&gt;Settings!$G$14,$I89&lt;&gt;Settings!$G$15),"CALL TODAY",""))</f>
        <v/>
      </c>
      <c r="N89" s="22" t="n"/>
    </row>
    <row r="90">
      <c r="B90" s="21" t="n"/>
      <c r="C90" s="22" t="n"/>
      <c r="D90" s="22" t="n"/>
      <c r="E90" s="22" t="n"/>
      <c r="F90" s="22" t="n"/>
      <c r="G90" s="22" t="n"/>
      <c r="H90" s="23" t="n"/>
      <c r="I90" s="22" t="n"/>
      <c r="J90" s="24">
        <f>IF($I90="","",IFERROR(VLOOKUP($I90,Settings!$G$10:$H$15,2,FALSE),""))</f>
        <v/>
      </c>
      <c r="K90" s="18">
        <f>IF(OR($H90="",$J90=""),"",$H90*$J90)</f>
        <v/>
      </c>
      <c r="L90" s="21" t="n"/>
      <c r="M90" s="25">
        <f>IF(OR($I90="",$L90=""),"",IF(AND($L90&lt;=TODAY(),$I90&lt;&gt;Settings!$G$14,$I90&lt;&gt;Settings!$G$15),"CALL TODAY",""))</f>
        <v/>
      </c>
      <c r="N90" s="22" t="n"/>
    </row>
    <row r="91">
      <c r="B91" s="21" t="n"/>
      <c r="C91" s="22" t="n"/>
      <c r="D91" s="22" t="n"/>
      <c r="E91" s="22" t="n"/>
      <c r="F91" s="22" t="n"/>
      <c r="G91" s="22" t="n"/>
      <c r="H91" s="23" t="n"/>
      <c r="I91" s="22" t="n"/>
      <c r="J91" s="24">
        <f>IF($I91="","",IFERROR(VLOOKUP($I91,Settings!$G$10:$H$15,2,FALSE),""))</f>
        <v/>
      </c>
      <c r="K91" s="18">
        <f>IF(OR($H91="",$J91=""),"",$H91*$J91)</f>
        <v/>
      </c>
      <c r="L91" s="21" t="n"/>
      <c r="M91" s="25">
        <f>IF(OR($I91="",$L91=""),"",IF(AND($L91&lt;=TODAY(),$I91&lt;&gt;Settings!$G$14,$I91&lt;&gt;Settings!$G$15),"CALL TODAY",""))</f>
        <v/>
      </c>
      <c r="N91" s="22" t="n"/>
    </row>
    <row r="92">
      <c r="B92" s="21" t="n"/>
      <c r="C92" s="22" t="n"/>
      <c r="D92" s="22" t="n"/>
      <c r="E92" s="22" t="n"/>
      <c r="F92" s="22" t="n"/>
      <c r="G92" s="22" t="n"/>
      <c r="H92" s="23" t="n"/>
      <c r="I92" s="22" t="n"/>
      <c r="J92" s="24">
        <f>IF($I92="","",IFERROR(VLOOKUP($I92,Settings!$G$10:$H$15,2,FALSE),""))</f>
        <v/>
      </c>
      <c r="K92" s="18">
        <f>IF(OR($H92="",$J92=""),"",$H92*$J92)</f>
        <v/>
      </c>
      <c r="L92" s="21" t="n"/>
      <c r="M92" s="25">
        <f>IF(OR($I92="",$L92=""),"",IF(AND($L92&lt;=TODAY(),$I92&lt;&gt;Settings!$G$14,$I92&lt;&gt;Settings!$G$15),"CALL TODAY",""))</f>
        <v/>
      </c>
      <c r="N92" s="22" t="n"/>
    </row>
    <row r="93">
      <c r="B93" s="21" t="n"/>
      <c r="C93" s="22" t="n"/>
      <c r="D93" s="22" t="n"/>
      <c r="E93" s="22" t="n"/>
      <c r="F93" s="22" t="n"/>
      <c r="G93" s="22" t="n"/>
      <c r="H93" s="23" t="n"/>
      <c r="I93" s="22" t="n"/>
      <c r="J93" s="24">
        <f>IF($I93="","",IFERROR(VLOOKUP($I93,Settings!$G$10:$H$15,2,FALSE),""))</f>
        <v/>
      </c>
      <c r="K93" s="18">
        <f>IF(OR($H93="",$J93=""),"",$H93*$J93)</f>
        <v/>
      </c>
      <c r="L93" s="21" t="n"/>
      <c r="M93" s="25">
        <f>IF(OR($I93="",$L93=""),"",IF(AND($L93&lt;=TODAY(),$I93&lt;&gt;Settings!$G$14,$I93&lt;&gt;Settings!$G$15),"CALL TODAY",""))</f>
        <v/>
      </c>
      <c r="N93" s="22" t="n"/>
    </row>
    <row r="94">
      <c r="B94" s="21" t="n"/>
      <c r="C94" s="22" t="n"/>
      <c r="D94" s="22" t="n"/>
      <c r="E94" s="22" t="n"/>
      <c r="F94" s="22" t="n"/>
      <c r="G94" s="22" t="n"/>
      <c r="H94" s="23" t="n"/>
      <c r="I94" s="22" t="n"/>
      <c r="J94" s="24">
        <f>IF($I94="","",IFERROR(VLOOKUP($I94,Settings!$G$10:$H$15,2,FALSE),""))</f>
        <v/>
      </c>
      <c r="K94" s="18">
        <f>IF(OR($H94="",$J94=""),"",$H94*$J94)</f>
        <v/>
      </c>
      <c r="L94" s="21" t="n"/>
      <c r="M94" s="25">
        <f>IF(OR($I94="",$L94=""),"",IF(AND($L94&lt;=TODAY(),$I94&lt;&gt;Settings!$G$14,$I94&lt;&gt;Settings!$G$15),"CALL TODAY",""))</f>
        <v/>
      </c>
      <c r="N94" s="22" t="n"/>
    </row>
    <row r="95">
      <c r="B95" s="21" t="n"/>
      <c r="C95" s="22" t="n"/>
      <c r="D95" s="22" t="n"/>
      <c r="E95" s="22" t="n"/>
      <c r="F95" s="22" t="n"/>
      <c r="G95" s="22" t="n"/>
      <c r="H95" s="23" t="n"/>
      <c r="I95" s="22" t="n"/>
      <c r="J95" s="24">
        <f>IF($I95="","",IFERROR(VLOOKUP($I95,Settings!$G$10:$H$15,2,FALSE),""))</f>
        <v/>
      </c>
      <c r="K95" s="18">
        <f>IF(OR($H95="",$J95=""),"",$H95*$J95)</f>
        <v/>
      </c>
      <c r="L95" s="21" t="n"/>
      <c r="M95" s="25">
        <f>IF(OR($I95="",$L95=""),"",IF(AND($L95&lt;=TODAY(),$I95&lt;&gt;Settings!$G$14,$I95&lt;&gt;Settings!$G$15),"CALL TODAY",""))</f>
        <v/>
      </c>
      <c r="N95" s="22" t="n"/>
    </row>
    <row r="96">
      <c r="B96" s="21" t="n"/>
      <c r="C96" s="22" t="n"/>
      <c r="D96" s="22" t="n"/>
      <c r="E96" s="22" t="n"/>
      <c r="F96" s="22" t="n"/>
      <c r="G96" s="22" t="n"/>
      <c r="H96" s="23" t="n"/>
      <c r="I96" s="22" t="n"/>
      <c r="J96" s="24">
        <f>IF($I96="","",IFERROR(VLOOKUP($I96,Settings!$G$10:$H$15,2,FALSE),""))</f>
        <v/>
      </c>
      <c r="K96" s="18">
        <f>IF(OR($H96="",$J96=""),"",$H96*$J96)</f>
        <v/>
      </c>
      <c r="L96" s="21" t="n"/>
      <c r="M96" s="25">
        <f>IF(OR($I96="",$L96=""),"",IF(AND($L96&lt;=TODAY(),$I96&lt;&gt;Settings!$G$14,$I96&lt;&gt;Settings!$G$15),"CALL TODAY",""))</f>
        <v/>
      </c>
      <c r="N96" s="22" t="n"/>
    </row>
    <row r="97">
      <c r="B97" s="21" t="n"/>
      <c r="C97" s="22" t="n"/>
      <c r="D97" s="22" t="n"/>
      <c r="E97" s="22" t="n"/>
      <c r="F97" s="22" t="n"/>
      <c r="G97" s="22" t="n"/>
      <c r="H97" s="23" t="n"/>
      <c r="I97" s="22" t="n"/>
      <c r="J97" s="24">
        <f>IF($I97="","",IFERROR(VLOOKUP($I97,Settings!$G$10:$H$15,2,FALSE),""))</f>
        <v/>
      </c>
      <c r="K97" s="18">
        <f>IF(OR($H97="",$J97=""),"",$H97*$J97)</f>
        <v/>
      </c>
      <c r="L97" s="21" t="n"/>
      <c r="M97" s="25">
        <f>IF(OR($I97="",$L97=""),"",IF(AND($L97&lt;=TODAY(),$I97&lt;&gt;Settings!$G$14,$I97&lt;&gt;Settings!$G$15),"CALL TODAY",""))</f>
        <v/>
      </c>
      <c r="N97" s="22" t="n"/>
    </row>
    <row r="98">
      <c r="B98" s="21" t="n"/>
      <c r="C98" s="22" t="n"/>
      <c r="D98" s="22" t="n"/>
      <c r="E98" s="22" t="n"/>
      <c r="F98" s="22" t="n"/>
      <c r="G98" s="22" t="n"/>
      <c r="H98" s="23" t="n"/>
      <c r="I98" s="22" t="n"/>
      <c r="J98" s="24">
        <f>IF($I98="","",IFERROR(VLOOKUP($I98,Settings!$G$10:$H$15,2,FALSE),""))</f>
        <v/>
      </c>
      <c r="K98" s="18">
        <f>IF(OR($H98="",$J98=""),"",$H98*$J98)</f>
        <v/>
      </c>
      <c r="L98" s="21" t="n"/>
      <c r="M98" s="25">
        <f>IF(OR($I98="",$L98=""),"",IF(AND($L98&lt;=TODAY(),$I98&lt;&gt;Settings!$G$14,$I98&lt;&gt;Settings!$G$15),"CALL TODAY",""))</f>
        <v/>
      </c>
      <c r="N98" s="22" t="n"/>
    </row>
    <row r="99">
      <c r="B99" s="21" t="n"/>
      <c r="C99" s="22" t="n"/>
      <c r="D99" s="22" t="n"/>
      <c r="E99" s="22" t="n"/>
      <c r="F99" s="22" t="n"/>
      <c r="G99" s="22" t="n"/>
      <c r="H99" s="23" t="n"/>
      <c r="I99" s="22" t="n"/>
      <c r="J99" s="24">
        <f>IF($I99="","",IFERROR(VLOOKUP($I99,Settings!$G$10:$H$15,2,FALSE),""))</f>
        <v/>
      </c>
      <c r="K99" s="18">
        <f>IF(OR($H99="",$J99=""),"",$H99*$J99)</f>
        <v/>
      </c>
      <c r="L99" s="21" t="n"/>
      <c r="M99" s="25">
        <f>IF(OR($I99="",$L99=""),"",IF(AND($L99&lt;=TODAY(),$I99&lt;&gt;Settings!$G$14,$I99&lt;&gt;Settings!$G$15),"CALL TODAY",""))</f>
        <v/>
      </c>
      <c r="N99" s="22" t="n"/>
    </row>
    <row r="100">
      <c r="B100" s="21" t="n"/>
      <c r="C100" s="22" t="n"/>
      <c r="D100" s="22" t="n"/>
      <c r="E100" s="22" t="n"/>
      <c r="F100" s="22" t="n"/>
      <c r="G100" s="22" t="n"/>
      <c r="H100" s="23" t="n"/>
      <c r="I100" s="22" t="n"/>
      <c r="J100" s="24">
        <f>IF($I100="","",IFERROR(VLOOKUP($I100,Settings!$G$10:$H$15,2,FALSE),""))</f>
        <v/>
      </c>
      <c r="K100" s="18">
        <f>IF(OR($H100="",$J100=""),"",$H100*$J100)</f>
        <v/>
      </c>
      <c r="L100" s="21" t="n"/>
      <c r="M100" s="25">
        <f>IF(OR($I100="",$L100=""),"",IF(AND($L100&lt;=TODAY(),$I100&lt;&gt;Settings!$G$14,$I100&lt;&gt;Settings!$G$15),"CALL TODAY",""))</f>
        <v/>
      </c>
      <c r="N100" s="22" t="n"/>
    </row>
    <row r="101">
      <c r="B101" s="21" t="n"/>
      <c r="C101" s="22" t="n"/>
      <c r="D101" s="22" t="n"/>
      <c r="E101" s="22" t="n"/>
      <c r="F101" s="22" t="n"/>
      <c r="G101" s="22" t="n"/>
      <c r="H101" s="23" t="n"/>
      <c r="I101" s="22" t="n"/>
      <c r="J101" s="24">
        <f>IF($I101="","",IFERROR(VLOOKUP($I101,Settings!$G$10:$H$15,2,FALSE),""))</f>
        <v/>
      </c>
      <c r="K101" s="18">
        <f>IF(OR($H101="",$J101=""),"",$H101*$J101)</f>
        <v/>
      </c>
      <c r="L101" s="21" t="n"/>
      <c r="M101" s="25">
        <f>IF(OR($I101="",$L101=""),"",IF(AND($L101&lt;=TODAY(),$I101&lt;&gt;Settings!$G$14,$I101&lt;&gt;Settings!$G$15),"CALL TODAY",""))</f>
        <v/>
      </c>
      <c r="N101" s="22" t="n"/>
    </row>
    <row r="102">
      <c r="B102" s="21" t="n"/>
      <c r="C102" s="22" t="n"/>
      <c r="D102" s="22" t="n"/>
      <c r="E102" s="22" t="n"/>
      <c r="F102" s="22" t="n"/>
      <c r="G102" s="22" t="n"/>
      <c r="H102" s="23" t="n"/>
      <c r="I102" s="22" t="n"/>
      <c r="J102" s="24">
        <f>IF($I102="","",IFERROR(VLOOKUP($I102,Settings!$G$10:$H$15,2,FALSE),""))</f>
        <v/>
      </c>
      <c r="K102" s="18">
        <f>IF(OR($H102="",$J102=""),"",$H102*$J102)</f>
        <v/>
      </c>
      <c r="L102" s="21" t="n"/>
      <c r="M102" s="25">
        <f>IF(OR($I102="",$L102=""),"",IF(AND($L102&lt;=TODAY(),$I102&lt;&gt;Settings!$G$14,$I102&lt;&gt;Settings!$G$15),"CALL TODAY",""))</f>
        <v/>
      </c>
      <c r="N102" s="22" t="n"/>
    </row>
    <row r="103">
      <c r="B103" s="21" t="n"/>
      <c r="C103" s="22" t="n"/>
      <c r="D103" s="22" t="n"/>
      <c r="E103" s="22" t="n"/>
      <c r="F103" s="22" t="n"/>
      <c r="G103" s="22" t="n"/>
      <c r="H103" s="23" t="n"/>
      <c r="I103" s="22" t="n"/>
      <c r="J103" s="24">
        <f>IF($I103="","",IFERROR(VLOOKUP($I103,Settings!$G$10:$H$15,2,FALSE),""))</f>
        <v/>
      </c>
      <c r="K103" s="18">
        <f>IF(OR($H103="",$J103=""),"",$H103*$J103)</f>
        <v/>
      </c>
      <c r="L103" s="21" t="n"/>
      <c r="M103" s="25">
        <f>IF(OR($I103="",$L103=""),"",IF(AND($L103&lt;=TODAY(),$I103&lt;&gt;Settings!$G$14,$I103&lt;&gt;Settings!$G$15),"CALL TODAY",""))</f>
        <v/>
      </c>
      <c r="N103" s="22" t="n"/>
    </row>
    <row r="104">
      <c r="B104" s="21" t="n"/>
      <c r="C104" s="22" t="n"/>
      <c r="D104" s="22" t="n"/>
      <c r="E104" s="22" t="n"/>
      <c r="F104" s="22" t="n"/>
      <c r="G104" s="22" t="n"/>
      <c r="H104" s="23" t="n"/>
      <c r="I104" s="22" t="n"/>
      <c r="J104" s="24">
        <f>IF($I104="","",IFERROR(VLOOKUP($I104,Settings!$G$10:$H$15,2,FALSE),""))</f>
        <v/>
      </c>
      <c r="K104" s="18">
        <f>IF(OR($H104="",$J104=""),"",$H104*$J104)</f>
        <v/>
      </c>
      <c r="L104" s="21" t="n"/>
      <c r="M104" s="25">
        <f>IF(OR($I104="",$L104=""),"",IF(AND($L104&lt;=TODAY(),$I104&lt;&gt;Settings!$G$14,$I104&lt;&gt;Settings!$G$15),"CALL TODAY",""))</f>
        <v/>
      </c>
      <c r="N104" s="22" t="n"/>
    </row>
    <row r="105">
      <c r="B105" s="21" t="n"/>
      <c r="C105" s="22" t="n"/>
      <c r="D105" s="22" t="n"/>
      <c r="E105" s="22" t="n"/>
      <c r="F105" s="22" t="n"/>
      <c r="G105" s="22" t="n"/>
      <c r="H105" s="23" t="n"/>
      <c r="I105" s="22" t="n"/>
      <c r="J105" s="24">
        <f>IF($I105="","",IFERROR(VLOOKUP($I105,Settings!$G$10:$H$15,2,FALSE),""))</f>
        <v/>
      </c>
      <c r="K105" s="18">
        <f>IF(OR($H105="",$J105=""),"",$H105*$J105)</f>
        <v/>
      </c>
      <c r="L105" s="21" t="n"/>
      <c r="M105" s="25">
        <f>IF(OR($I105="",$L105=""),"",IF(AND($L105&lt;=TODAY(),$I105&lt;&gt;Settings!$G$14,$I105&lt;&gt;Settings!$G$15),"CALL TODAY",""))</f>
        <v/>
      </c>
      <c r="N105" s="22" t="n"/>
    </row>
    <row r="106">
      <c r="B106" s="21" t="n"/>
      <c r="C106" s="22" t="n"/>
      <c r="D106" s="22" t="n"/>
      <c r="E106" s="22" t="n"/>
      <c r="F106" s="22" t="n"/>
      <c r="G106" s="22" t="n"/>
      <c r="H106" s="23" t="n"/>
      <c r="I106" s="22" t="n"/>
      <c r="J106" s="24">
        <f>IF($I106="","",IFERROR(VLOOKUP($I106,Settings!$G$10:$H$15,2,FALSE),""))</f>
        <v/>
      </c>
      <c r="K106" s="18">
        <f>IF(OR($H106="",$J106=""),"",$H106*$J106)</f>
        <v/>
      </c>
      <c r="L106" s="21" t="n"/>
      <c r="M106" s="25">
        <f>IF(OR($I106="",$L106=""),"",IF(AND($L106&lt;=TODAY(),$I106&lt;&gt;Settings!$G$14,$I106&lt;&gt;Settings!$G$15),"CALL TODAY",""))</f>
        <v/>
      </c>
      <c r="N106" s="22" t="n"/>
    </row>
    <row r="107">
      <c r="B107" s="21" t="n"/>
      <c r="C107" s="22" t="n"/>
      <c r="D107" s="22" t="n"/>
      <c r="E107" s="22" t="n"/>
      <c r="F107" s="22" t="n"/>
      <c r="G107" s="22" t="n"/>
      <c r="H107" s="23" t="n"/>
      <c r="I107" s="22" t="n"/>
      <c r="J107" s="24">
        <f>IF($I107="","",IFERROR(VLOOKUP($I107,Settings!$G$10:$H$15,2,FALSE),""))</f>
        <v/>
      </c>
      <c r="K107" s="18">
        <f>IF(OR($H107="",$J107=""),"",$H107*$J107)</f>
        <v/>
      </c>
      <c r="L107" s="21" t="n"/>
      <c r="M107" s="25">
        <f>IF(OR($I107="",$L107=""),"",IF(AND($L107&lt;=TODAY(),$I107&lt;&gt;Settings!$G$14,$I107&lt;&gt;Settings!$G$15),"CALL TODAY",""))</f>
        <v/>
      </c>
      <c r="N107" s="22" t="n"/>
    </row>
    <row r="108">
      <c r="B108" s="21" t="n"/>
      <c r="C108" s="22" t="n"/>
      <c r="D108" s="22" t="n"/>
      <c r="E108" s="22" t="n"/>
      <c r="F108" s="22" t="n"/>
      <c r="G108" s="22" t="n"/>
      <c r="H108" s="23" t="n"/>
      <c r="I108" s="22" t="n"/>
      <c r="J108" s="24">
        <f>IF($I108="","",IFERROR(VLOOKUP($I108,Settings!$G$10:$H$15,2,FALSE),""))</f>
        <v/>
      </c>
      <c r="K108" s="18">
        <f>IF(OR($H108="",$J108=""),"",$H108*$J108)</f>
        <v/>
      </c>
      <c r="L108" s="21" t="n"/>
      <c r="M108" s="25">
        <f>IF(OR($I108="",$L108=""),"",IF(AND($L108&lt;=TODAY(),$I108&lt;&gt;Settings!$G$14,$I108&lt;&gt;Settings!$G$15),"CALL TODAY",""))</f>
        <v/>
      </c>
      <c r="N108" s="22" t="n"/>
    </row>
    <row r="109">
      <c r="B109" s="21" t="n"/>
      <c r="C109" s="22" t="n"/>
      <c r="D109" s="22" t="n"/>
      <c r="E109" s="22" t="n"/>
      <c r="F109" s="22" t="n"/>
      <c r="G109" s="22" t="n"/>
      <c r="H109" s="23" t="n"/>
      <c r="I109" s="22" t="n"/>
      <c r="J109" s="24">
        <f>IF($I109="","",IFERROR(VLOOKUP($I109,Settings!$G$10:$H$15,2,FALSE),""))</f>
        <v/>
      </c>
      <c r="K109" s="18">
        <f>IF(OR($H109="",$J109=""),"",$H109*$J109)</f>
        <v/>
      </c>
      <c r="L109" s="21" t="n"/>
      <c r="M109" s="25">
        <f>IF(OR($I109="",$L109=""),"",IF(AND($L109&lt;=TODAY(),$I109&lt;&gt;Settings!$G$14,$I109&lt;&gt;Settings!$G$15),"CALL TODAY",""))</f>
        <v/>
      </c>
      <c r="N109" s="22" t="n"/>
    </row>
    <row r="110">
      <c r="B110" s="21" t="n"/>
      <c r="C110" s="22" t="n"/>
      <c r="D110" s="22" t="n"/>
      <c r="E110" s="22" t="n"/>
      <c r="F110" s="22" t="n"/>
      <c r="G110" s="22" t="n"/>
      <c r="H110" s="23" t="n"/>
      <c r="I110" s="22" t="n"/>
      <c r="J110" s="24">
        <f>IF($I110="","",IFERROR(VLOOKUP($I110,Settings!$G$10:$H$15,2,FALSE),""))</f>
        <v/>
      </c>
      <c r="K110" s="18">
        <f>IF(OR($H110="",$J110=""),"",$H110*$J110)</f>
        <v/>
      </c>
      <c r="L110" s="21" t="n"/>
      <c r="M110" s="25">
        <f>IF(OR($I110="",$L110=""),"",IF(AND($L110&lt;=TODAY(),$I110&lt;&gt;Settings!$G$14,$I110&lt;&gt;Settings!$G$15),"CALL TODAY",""))</f>
        <v/>
      </c>
      <c r="N110" s="22" t="n"/>
    </row>
    <row r="111">
      <c r="B111" s="21" t="n"/>
      <c r="C111" s="22" t="n"/>
      <c r="D111" s="22" t="n"/>
      <c r="E111" s="22" t="n"/>
      <c r="F111" s="22" t="n"/>
      <c r="G111" s="22" t="n"/>
      <c r="H111" s="23" t="n"/>
      <c r="I111" s="22" t="n"/>
      <c r="J111" s="24">
        <f>IF($I111="","",IFERROR(VLOOKUP($I111,Settings!$G$10:$H$15,2,FALSE),""))</f>
        <v/>
      </c>
      <c r="K111" s="18">
        <f>IF(OR($H111="",$J111=""),"",$H111*$J111)</f>
        <v/>
      </c>
      <c r="L111" s="21" t="n"/>
      <c r="M111" s="25">
        <f>IF(OR($I111="",$L111=""),"",IF(AND($L111&lt;=TODAY(),$I111&lt;&gt;Settings!$G$14,$I111&lt;&gt;Settings!$G$15),"CALL TODAY",""))</f>
        <v/>
      </c>
      <c r="N111" s="22" t="n"/>
    </row>
    <row r="112">
      <c r="B112" s="21" t="n"/>
      <c r="C112" s="22" t="n"/>
      <c r="D112" s="22" t="n"/>
      <c r="E112" s="22" t="n"/>
      <c r="F112" s="22" t="n"/>
      <c r="G112" s="22" t="n"/>
      <c r="H112" s="23" t="n"/>
      <c r="I112" s="22" t="n"/>
      <c r="J112" s="24">
        <f>IF($I112="","",IFERROR(VLOOKUP($I112,Settings!$G$10:$H$15,2,FALSE),""))</f>
        <v/>
      </c>
      <c r="K112" s="18">
        <f>IF(OR($H112="",$J112=""),"",$H112*$J112)</f>
        <v/>
      </c>
      <c r="L112" s="21" t="n"/>
      <c r="M112" s="25">
        <f>IF(OR($I112="",$L112=""),"",IF(AND($L112&lt;=TODAY(),$I112&lt;&gt;Settings!$G$14,$I112&lt;&gt;Settings!$G$15),"CALL TODAY",""))</f>
        <v/>
      </c>
      <c r="N112" s="22" t="n"/>
    </row>
    <row r="113">
      <c r="B113" s="21" t="n"/>
      <c r="C113" s="22" t="n"/>
      <c r="D113" s="22" t="n"/>
      <c r="E113" s="22" t="n"/>
      <c r="F113" s="22" t="n"/>
      <c r="G113" s="22" t="n"/>
      <c r="H113" s="23" t="n"/>
      <c r="I113" s="22" t="n"/>
      <c r="J113" s="24">
        <f>IF($I113="","",IFERROR(VLOOKUP($I113,Settings!$G$10:$H$15,2,FALSE),""))</f>
        <v/>
      </c>
      <c r="K113" s="18">
        <f>IF(OR($H113="",$J113=""),"",$H113*$J113)</f>
        <v/>
      </c>
      <c r="L113" s="21" t="n"/>
      <c r="M113" s="25">
        <f>IF(OR($I113="",$L113=""),"",IF(AND($L113&lt;=TODAY(),$I113&lt;&gt;Settings!$G$14,$I113&lt;&gt;Settings!$G$15),"CALL TODAY",""))</f>
        <v/>
      </c>
      <c r="N113" s="22" t="n"/>
    </row>
    <row r="114">
      <c r="B114" s="21" t="n"/>
      <c r="C114" s="22" t="n"/>
      <c r="D114" s="22" t="n"/>
      <c r="E114" s="22" t="n"/>
      <c r="F114" s="22" t="n"/>
      <c r="G114" s="22" t="n"/>
      <c r="H114" s="23" t="n"/>
      <c r="I114" s="22" t="n"/>
      <c r="J114" s="24">
        <f>IF($I114="","",IFERROR(VLOOKUP($I114,Settings!$G$10:$H$15,2,FALSE),""))</f>
        <v/>
      </c>
      <c r="K114" s="18">
        <f>IF(OR($H114="",$J114=""),"",$H114*$J114)</f>
        <v/>
      </c>
      <c r="L114" s="21" t="n"/>
      <c r="M114" s="25">
        <f>IF(OR($I114="",$L114=""),"",IF(AND($L114&lt;=TODAY(),$I114&lt;&gt;Settings!$G$14,$I114&lt;&gt;Settings!$G$15),"CALL TODAY",""))</f>
        <v/>
      </c>
      <c r="N114" s="22" t="n"/>
    </row>
    <row r="115">
      <c r="B115" s="21" t="n"/>
      <c r="C115" s="22" t="n"/>
      <c r="D115" s="22" t="n"/>
      <c r="E115" s="22" t="n"/>
      <c r="F115" s="22" t="n"/>
      <c r="G115" s="22" t="n"/>
      <c r="H115" s="23" t="n"/>
      <c r="I115" s="22" t="n"/>
      <c r="J115" s="24">
        <f>IF($I115="","",IFERROR(VLOOKUP($I115,Settings!$G$10:$H$15,2,FALSE),""))</f>
        <v/>
      </c>
      <c r="K115" s="18">
        <f>IF(OR($H115="",$J115=""),"",$H115*$J115)</f>
        <v/>
      </c>
      <c r="L115" s="21" t="n"/>
      <c r="M115" s="25">
        <f>IF(OR($I115="",$L115=""),"",IF(AND($L115&lt;=TODAY(),$I115&lt;&gt;Settings!$G$14,$I115&lt;&gt;Settings!$G$15),"CALL TODAY",""))</f>
        <v/>
      </c>
      <c r="N115" s="22" t="n"/>
    </row>
    <row r="116">
      <c r="B116" s="21" t="n"/>
      <c r="C116" s="22" t="n"/>
      <c r="D116" s="22" t="n"/>
      <c r="E116" s="22" t="n"/>
      <c r="F116" s="22" t="n"/>
      <c r="G116" s="22" t="n"/>
      <c r="H116" s="23" t="n"/>
      <c r="I116" s="22" t="n"/>
      <c r="J116" s="24">
        <f>IF($I116="","",IFERROR(VLOOKUP($I116,Settings!$G$10:$H$15,2,FALSE),""))</f>
        <v/>
      </c>
      <c r="K116" s="18">
        <f>IF(OR($H116="",$J116=""),"",$H116*$J116)</f>
        <v/>
      </c>
      <c r="L116" s="21" t="n"/>
      <c r="M116" s="25">
        <f>IF(OR($I116="",$L116=""),"",IF(AND($L116&lt;=TODAY(),$I116&lt;&gt;Settings!$G$14,$I116&lt;&gt;Settings!$G$15),"CALL TODAY",""))</f>
        <v/>
      </c>
      <c r="N116" s="22" t="n"/>
    </row>
    <row r="117">
      <c r="B117" s="21" t="n"/>
      <c r="C117" s="22" t="n"/>
      <c r="D117" s="22" t="n"/>
      <c r="E117" s="22" t="n"/>
      <c r="F117" s="22" t="n"/>
      <c r="G117" s="22" t="n"/>
      <c r="H117" s="23" t="n"/>
      <c r="I117" s="22" t="n"/>
      <c r="J117" s="24">
        <f>IF($I117="","",IFERROR(VLOOKUP($I117,Settings!$G$10:$H$15,2,FALSE),""))</f>
        <v/>
      </c>
      <c r="K117" s="18">
        <f>IF(OR($H117="",$J117=""),"",$H117*$J117)</f>
        <v/>
      </c>
      <c r="L117" s="21" t="n"/>
      <c r="M117" s="25">
        <f>IF(OR($I117="",$L117=""),"",IF(AND($L117&lt;=TODAY(),$I117&lt;&gt;Settings!$G$14,$I117&lt;&gt;Settings!$G$15),"CALL TODAY",""))</f>
        <v/>
      </c>
      <c r="N117" s="22" t="n"/>
    </row>
    <row r="118">
      <c r="B118" s="21" t="n"/>
      <c r="C118" s="22" t="n"/>
      <c r="D118" s="22" t="n"/>
      <c r="E118" s="22" t="n"/>
      <c r="F118" s="22" t="n"/>
      <c r="G118" s="22" t="n"/>
      <c r="H118" s="23" t="n"/>
      <c r="I118" s="22" t="n"/>
      <c r="J118" s="24">
        <f>IF($I118="","",IFERROR(VLOOKUP($I118,Settings!$G$10:$H$15,2,FALSE),""))</f>
        <v/>
      </c>
      <c r="K118" s="18">
        <f>IF(OR($H118="",$J118=""),"",$H118*$J118)</f>
        <v/>
      </c>
      <c r="L118" s="21" t="n"/>
      <c r="M118" s="25">
        <f>IF(OR($I118="",$L118=""),"",IF(AND($L118&lt;=TODAY(),$I118&lt;&gt;Settings!$G$14,$I118&lt;&gt;Settings!$G$15),"CALL TODAY",""))</f>
        <v/>
      </c>
      <c r="N118" s="22" t="n"/>
    </row>
    <row r="119">
      <c r="B119" s="21" t="n"/>
      <c r="C119" s="22" t="n"/>
      <c r="D119" s="22" t="n"/>
      <c r="E119" s="22" t="n"/>
      <c r="F119" s="22" t="n"/>
      <c r="G119" s="22" t="n"/>
      <c r="H119" s="23" t="n"/>
      <c r="I119" s="22" t="n"/>
      <c r="J119" s="24">
        <f>IF($I119="","",IFERROR(VLOOKUP($I119,Settings!$G$10:$H$15,2,FALSE),""))</f>
        <v/>
      </c>
      <c r="K119" s="18">
        <f>IF(OR($H119="",$J119=""),"",$H119*$J119)</f>
        <v/>
      </c>
      <c r="L119" s="21" t="n"/>
      <c r="M119" s="25">
        <f>IF(OR($I119="",$L119=""),"",IF(AND($L119&lt;=TODAY(),$I119&lt;&gt;Settings!$G$14,$I119&lt;&gt;Settings!$G$15),"CALL TODAY",""))</f>
        <v/>
      </c>
      <c r="N119" s="22" t="n"/>
    </row>
    <row r="120">
      <c r="B120" s="21" t="n"/>
      <c r="C120" s="22" t="n"/>
      <c r="D120" s="22" t="n"/>
      <c r="E120" s="22" t="n"/>
      <c r="F120" s="22" t="n"/>
      <c r="G120" s="22" t="n"/>
      <c r="H120" s="23" t="n"/>
      <c r="I120" s="22" t="n"/>
      <c r="J120" s="24">
        <f>IF($I120="","",IFERROR(VLOOKUP($I120,Settings!$G$10:$H$15,2,FALSE),""))</f>
        <v/>
      </c>
      <c r="K120" s="18">
        <f>IF(OR($H120="",$J120=""),"",$H120*$J120)</f>
        <v/>
      </c>
      <c r="L120" s="21" t="n"/>
      <c r="M120" s="25">
        <f>IF(OR($I120="",$L120=""),"",IF(AND($L120&lt;=TODAY(),$I120&lt;&gt;Settings!$G$14,$I120&lt;&gt;Settings!$G$15),"CALL TODAY",""))</f>
        <v/>
      </c>
      <c r="N120" s="22" t="n"/>
    </row>
    <row r="121">
      <c r="B121" s="21" t="n"/>
      <c r="C121" s="22" t="n"/>
      <c r="D121" s="22" t="n"/>
      <c r="E121" s="22" t="n"/>
      <c r="F121" s="22" t="n"/>
      <c r="G121" s="22" t="n"/>
      <c r="H121" s="23" t="n"/>
      <c r="I121" s="22" t="n"/>
      <c r="J121" s="24">
        <f>IF($I121="","",IFERROR(VLOOKUP($I121,Settings!$G$10:$H$15,2,FALSE),""))</f>
        <v/>
      </c>
      <c r="K121" s="18">
        <f>IF(OR($H121="",$J121=""),"",$H121*$J121)</f>
        <v/>
      </c>
      <c r="L121" s="21" t="n"/>
      <c r="M121" s="25">
        <f>IF(OR($I121="",$L121=""),"",IF(AND($L121&lt;=TODAY(),$I121&lt;&gt;Settings!$G$14,$I121&lt;&gt;Settings!$G$15),"CALL TODAY",""))</f>
        <v/>
      </c>
      <c r="N121" s="22" t="n"/>
    </row>
    <row r="122">
      <c r="B122" s="21" t="n"/>
      <c r="C122" s="22" t="n"/>
      <c r="D122" s="22" t="n"/>
      <c r="E122" s="22" t="n"/>
      <c r="F122" s="22" t="n"/>
      <c r="G122" s="22" t="n"/>
      <c r="H122" s="23" t="n"/>
      <c r="I122" s="22" t="n"/>
      <c r="J122" s="24">
        <f>IF($I122="","",IFERROR(VLOOKUP($I122,Settings!$G$10:$H$15,2,FALSE),""))</f>
        <v/>
      </c>
      <c r="K122" s="18">
        <f>IF(OR($H122="",$J122=""),"",$H122*$J122)</f>
        <v/>
      </c>
      <c r="L122" s="21" t="n"/>
      <c r="M122" s="25">
        <f>IF(OR($I122="",$L122=""),"",IF(AND($L122&lt;=TODAY(),$I122&lt;&gt;Settings!$G$14,$I122&lt;&gt;Settings!$G$15),"CALL TODAY",""))</f>
        <v/>
      </c>
      <c r="N122" s="22" t="n"/>
    </row>
    <row r="123">
      <c r="B123" s="21" t="n"/>
      <c r="C123" s="22" t="n"/>
      <c r="D123" s="22" t="n"/>
      <c r="E123" s="22" t="n"/>
      <c r="F123" s="22" t="n"/>
      <c r="G123" s="22" t="n"/>
      <c r="H123" s="23" t="n"/>
      <c r="I123" s="22" t="n"/>
      <c r="J123" s="24">
        <f>IF($I123="","",IFERROR(VLOOKUP($I123,Settings!$G$10:$H$15,2,FALSE),""))</f>
        <v/>
      </c>
      <c r="K123" s="18">
        <f>IF(OR($H123="",$J123=""),"",$H123*$J123)</f>
        <v/>
      </c>
      <c r="L123" s="21" t="n"/>
      <c r="M123" s="25">
        <f>IF(OR($I123="",$L123=""),"",IF(AND($L123&lt;=TODAY(),$I123&lt;&gt;Settings!$G$14,$I123&lt;&gt;Settings!$G$15),"CALL TODAY",""))</f>
        <v/>
      </c>
      <c r="N123" s="22" t="n"/>
    </row>
    <row r="124">
      <c r="B124" s="21" t="n"/>
      <c r="C124" s="22" t="n"/>
      <c r="D124" s="22" t="n"/>
      <c r="E124" s="22" t="n"/>
      <c r="F124" s="22" t="n"/>
      <c r="G124" s="22" t="n"/>
      <c r="H124" s="23" t="n"/>
      <c r="I124" s="22" t="n"/>
      <c r="J124" s="24">
        <f>IF($I124="","",IFERROR(VLOOKUP($I124,Settings!$G$10:$H$15,2,FALSE),""))</f>
        <v/>
      </c>
      <c r="K124" s="18">
        <f>IF(OR($H124="",$J124=""),"",$H124*$J124)</f>
        <v/>
      </c>
      <c r="L124" s="21" t="n"/>
      <c r="M124" s="25">
        <f>IF(OR($I124="",$L124=""),"",IF(AND($L124&lt;=TODAY(),$I124&lt;&gt;Settings!$G$14,$I124&lt;&gt;Settings!$G$15),"CALL TODAY",""))</f>
        <v/>
      </c>
      <c r="N124" s="22" t="n"/>
    </row>
    <row r="125">
      <c r="B125" s="21" t="n"/>
      <c r="C125" s="22" t="n"/>
      <c r="D125" s="22" t="n"/>
      <c r="E125" s="22" t="n"/>
      <c r="F125" s="22" t="n"/>
      <c r="G125" s="22" t="n"/>
      <c r="H125" s="23" t="n"/>
      <c r="I125" s="22" t="n"/>
      <c r="J125" s="24">
        <f>IF($I125="","",IFERROR(VLOOKUP($I125,Settings!$G$10:$H$15,2,FALSE),""))</f>
        <v/>
      </c>
      <c r="K125" s="18">
        <f>IF(OR($H125="",$J125=""),"",$H125*$J125)</f>
        <v/>
      </c>
      <c r="L125" s="21" t="n"/>
      <c r="M125" s="25">
        <f>IF(OR($I125="",$L125=""),"",IF(AND($L125&lt;=TODAY(),$I125&lt;&gt;Settings!$G$14,$I125&lt;&gt;Settings!$G$15),"CALL TODAY",""))</f>
        <v/>
      </c>
      <c r="N125" s="22" t="n"/>
    </row>
    <row r="126">
      <c r="B126" s="21" t="n"/>
      <c r="C126" s="22" t="n"/>
      <c r="D126" s="22" t="n"/>
      <c r="E126" s="22" t="n"/>
      <c r="F126" s="22" t="n"/>
      <c r="G126" s="22" t="n"/>
      <c r="H126" s="23" t="n"/>
      <c r="I126" s="22" t="n"/>
      <c r="J126" s="24">
        <f>IF($I126="","",IFERROR(VLOOKUP($I126,Settings!$G$10:$H$15,2,FALSE),""))</f>
        <v/>
      </c>
      <c r="K126" s="18">
        <f>IF(OR($H126="",$J126=""),"",$H126*$J126)</f>
        <v/>
      </c>
      <c r="L126" s="21" t="n"/>
      <c r="M126" s="25">
        <f>IF(OR($I126="",$L126=""),"",IF(AND($L126&lt;=TODAY(),$I126&lt;&gt;Settings!$G$14,$I126&lt;&gt;Settings!$G$15),"CALL TODAY",""))</f>
        <v/>
      </c>
      <c r="N126" s="22" t="n"/>
    </row>
    <row r="127">
      <c r="B127" s="21" t="n"/>
      <c r="C127" s="22" t="n"/>
      <c r="D127" s="22" t="n"/>
      <c r="E127" s="22" t="n"/>
      <c r="F127" s="22" t="n"/>
      <c r="G127" s="22" t="n"/>
      <c r="H127" s="23" t="n"/>
      <c r="I127" s="22" t="n"/>
      <c r="J127" s="24">
        <f>IF($I127="","",IFERROR(VLOOKUP($I127,Settings!$G$10:$H$15,2,FALSE),""))</f>
        <v/>
      </c>
      <c r="K127" s="18">
        <f>IF(OR($H127="",$J127=""),"",$H127*$J127)</f>
        <v/>
      </c>
      <c r="L127" s="21" t="n"/>
      <c r="M127" s="25">
        <f>IF(OR($I127="",$L127=""),"",IF(AND($L127&lt;=TODAY(),$I127&lt;&gt;Settings!$G$14,$I127&lt;&gt;Settings!$G$15),"CALL TODAY",""))</f>
        <v/>
      </c>
      <c r="N127" s="22" t="n"/>
    </row>
    <row r="128">
      <c r="B128" s="21" t="n"/>
      <c r="C128" s="22" t="n"/>
      <c r="D128" s="22" t="n"/>
      <c r="E128" s="22" t="n"/>
      <c r="F128" s="22" t="n"/>
      <c r="G128" s="22" t="n"/>
      <c r="H128" s="23" t="n"/>
      <c r="I128" s="22" t="n"/>
      <c r="J128" s="24">
        <f>IF($I128="","",IFERROR(VLOOKUP($I128,Settings!$G$10:$H$15,2,FALSE),""))</f>
        <v/>
      </c>
      <c r="K128" s="18">
        <f>IF(OR($H128="",$J128=""),"",$H128*$J128)</f>
        <v/>
      </c>
      <c r="L128" s="21" t="n"/>
      <c r="M128" s="25">
        <f>IF(OR($I128="",$L128=""),"",IF(AND($L128&lt;=TODAY(),$I128&lt;&gt;Settings!$G$14,$I128&lt;&gt;Settings!$G$15),"CALL TODAY",""))</f>
        <v/>
      </c>
      <c r="N128" s="22" t="n"/>
    </row>
    <row r="129">
      <c r="B129" s="21" t="n"/>
      <c r="C129" s="22" t="n"/>
      <c r="D129" s="22" t="n"/>
      <c r="E129" s="22" t="n"/>
      <c r="F129" s="22" t="n"/>
      <c r="G129" s="22" t="n"/>
      <c r="H129" s="23" t="n"/>
      <c r="I129" s="22" t="n"/>
      <c r="J129" s="24">
        <f>IF($I129="","",IFERROR(VLOOKUP($I129,Settings!$G$10:$H$15,2,FALSE),""))</f>
        <v/>
      </c>
      <c r="K129" s="18">
        <f>IF(OR($H129="",$J129=""),"",$H129*$J129)</f>
        <v/>
      </c>
      <c r="L129" s="21" t="n"/>
      <c r="M129" s="25">
        <f>IF(OR($I129="",$L129=""),"",IF(AND($L129&lt;=TODAY(),$I129&lt;&gt;Settings!$G$14,$I129&lt;&gt;Settings!$G$15),"CALL TODAY",""))</f>
        <v/>
      </c>
      <c r="N129" s="22" t="n"/>
    </row>
    <row r="130">
      <c r="B130" s="21" t="n"/>
      <c r="C130" s="22" t="n"/>
      <c r="D130" s="22" t="n"/>
      <c r="E130" s="22" t="n"/>
      <c r="F130" s="22" t="n"/>
      <c r="G130" s="22" t="n"/>
      <c r="H130" s="23" t="n"/>
      <c r="I130" s="22" t="n"/>
      <c r="J130" s="24">
        <f>IF($I130="","",IFERROR(VLOOKUP($I130,Settings!$G$10:$H$15,2,FALSE),""))</f>
        <v/>
      </c>
      <c r="K130" s="18">
        <f>IF(OR($H130="",$J130=""),"",$H130*$J130)</f>
        <v/>
      </c>
      <c r="L130" s="21" t="n"/>
      <c r="M130" s="25">
        <f>IF(OR($I130="",$L130=""),"",IF(AND($L130&lt;=TODAY(),$I130&lt;&gt;Settings!$G$14,$I130&lt;&gt;Settings!$G$15),"CALL TODAY",""))</f>
        <v/>
      </c>
      <c r="N130" s="22" t="n"/>
    </row>
    <row r="131">
      <c r="B131" s="21" t="n"/>
      <c r="C131" s="22" t="n"/>
      <c r="D131" s="22" t="n"/>
      <c r="E131" s="22" t="n"/>
      <c r="F131" s="22" t="n"/>
      <c r="G131" s="22" t="n"/>
      <c r="H131" s="23" t="n"/>
      <c r="I131" s="22" t="n"/>
      <c r="J131" s="24">
        <f>IF($I131="","",IFERROR(VLOOKUP($I131,Settings!$G$10:$H$15,2,FALSE),""))</f>
        <v/>
      </c>
      <c r="K131" s="18">
        <f>IF(OR($H131="",$J131=""),"",$H131*$J131)</f>
        <v/>
      </c>
      <c r="L131" s="21" t="n"/>
      <c r="M131" s="25">
        <f>IF(OR($I131="",$L131=""),"",IF(AND($L131&lt;=TODAY(),$I131&lt;&gt;Settings!$G$14,$I131&lt;&gt;Settings!$G$15),"CALL TODAY",""))</f>
        <v/>
      </c>
      <c r="N131" s="22" t="n"/>
    </row>
    <row r="132">
      <c r="B132" s="21" t="n"/>
      <c r="C132" s="22" t="n"/>
      <c r="D132" s="22" t="n"/>
      <c r="E132" s="22" t="n"/>
      <c r="F132" s="22" t="n"/>
      <c r="G132" s="22" t="n"/>
      <c r="H132" s="23" t="n"/>
      <c r="I132" s="22" t="n"/>
      <c r="J132" s="24">
        <f>IF($I132="","",IFERROR(VLOOKUP($I132,Settings!$G$10:$H$15,2,FALSE),""))</f>
        <v/>
      </c>
      <c r="K132" s="18">
        <f>IF(OR($H132="",$J132=""),"",$H132*$J132)</f>
        <v/>
      </c>
      <c r="L132" s="21" t="n"/>
      <c r="M132" s="25">
        <f>IF(OR($I132="",$L132=""),"",IF(AND($L132&lt;=TODAY(),$I132&lt;&gt;Settings!$G$14,$I132&lt;&gt;Settings!$G$15),"CALL TODAY",""))</f>
        <v/>
      </c>
      <c r="N132" s="22" t="n"/>
    </row>
    <row r="133">
      <c r="B133" s="21" t="n"/>
      <c r="C133" s="22" t="n"/>
      <c r="D133" s="22" t="n"/>
      <c r="E133" s="22" t="n"/>
      <c r="F133" s="22" t="n"/>
      <c r="G133" s="22" t="n"/>
      <c r="H133" s="23" t="n"/>
      <c r="I133" s="22" t="n"/>
      <c r="J133" s="24">
        <f>IF($I133="","",IFERROR(VLOOKUP($I133,Settings!$G$10:$H$15,2,FALSE),""))</f>
        <v/>
      </c>
      <c r="K133" s="18">
        <f>IF(OR($H133="",$J133=""),"",$H133*$J133)</f>
        <v/>
      </c>
      <c r="L133" s="21" t="n"/>
      <c r="M133" s="25">
        <f>IF(OR($I133="",$L133=""),"",IF(AND($L133&lt;=TODAY(),$I133&lt;&gt;Settings!$G$14,$I133&lt;&gt;Settings!$G$15),"CALL TODAY",""))</f>
        <v/>
      </c>
      <c r="N133" s="22" t="n"/>
    </row>
    <row r="134">
      <c r="B134" s="21" t="n"/>
      <c r="C134" s="22" t="n"/>
      <c r="D134" s="22" t="n"/>
      <c r="E134" s="22" t="n"/>
      <c r="F134" s="22" t="n"/>
      <c r="G134" s="22" t="n"/>
      <c r="H134" s="23" t="n"/>
      <c r="I134" s="22" t="n"/>
      <c r="J134" s="24">
        <f>IF($I134="","",IFERROR(VLOOKUP($I134,Settings!$G$10:$H$15,2,FALSE),""))</f>
        <v/>
      </c>
      <c r="K134" s="18">
        <f>IF(OR($H134="",$J134=""),"",$H134*$J134)</f>
        <v/>
      </c>
      <c r="L134" s="21" t="n"/>
      <c r="M134" s="25">
        <f>IF(OR($I134="",$L134=""),"",IF(AND($L134&lt;=TODAY(),$I134&lt;&gt;Settings!$G$14,$I134&lt;&gt;Settings!$G$15),"CALL TODAY",""))</f>
        <v/>
      </c>
      <c r="N134" s="22" t="n"/>
    </row>
    <row r="135">
      <c r="B135" s="21" t="n"/>
      <c r="C135" s="22" t="n"/>
      <c r="D135" s="22" t="n"/>
      <c r="E135" s="22" t="n"/>
      <c r="F135" s="22" t="n"/>
      <c r="G135" s="22" t="n"/>
      <c r="H135" s="23" t="n"/>
      <c r="I135" s="22" t="n"/>
      <c r="J135" s="24">
        <f>IF($I135="","",IFERROR(VLOOKUP($I135,Settings!$G$10:$H$15,2,FALSE),""))</f>
        <v/>
      </c>
      <c r="K135" s="18">
        <f>IF(OR($H135="",$J135=""),"",$H135*$J135)</f>
        <v/>
      </c>
      <c r="L135" s="21" t="n"/>
      <c r="M135" s="25">
        <f>IF(OR($I135="",$L135=""),"",IF(AND($L135&lt;=TODAY(),$I135&lt;&gt;Settings!$G$14,$I135&lt;&gt;Settings!$G$15),"CALL TODAY",""))</f>
        <v/>
      </c>
      <c r="N135" s="22" t="n"/>
    </row>
    <row r="136">
      <c r="B136" s="21" t="n"/>
      <c r="C136" s="22" t="n"/>
      <c r="D136" s="22" t="n"/>
      <c r="E136" s="22" t="n"/>
      <c r="F136" s="22" t="n"/>
      <c r="G136" s="22" t="n"/>
      <c r="H136" s="23" t="n"/>
      <c r="I136" s="22" t="n"/>
      <c r="J136" s="24">
        <f>IF($I136="","",IFERROR(VLOOKUP($I136,Settings!$G$10:$H$15,2,FALSE),""))</f>
        <v/>
      </c>
      <c r="K136" s="18">
        <f>IF(OR($H136="",$J136=""),"",$H136*$J136)</f>
        <v/>
      </c>
      <c r="L136" s="21" t="n"/>
      <c r="M136" s="25">
        <f>IF(OR($I136="",$L136=""),"",IF(AND($L136&lt;=TODAY(),$I136&lt;&gt;Settings!$G$14,$I136&lt;&gt;Settings!$G$15),"CALL TODAY",""))</f>
        <v/>
      </c>
      <c r="N136" s="22" t="n"/>
    </row>
    <row r="137">
      <c r="B137" s="21" t="n"/>
      <c r="C137" s="22" t="n"/>
      <c r="D137" s="22" t="n"/>
      <c r="E137" s="22" t="n"/>
      <c r="F137" s="22" t="n"/>
      <c r="G137" s="22" t="n"/>
      <c r="H137" s="23" t="n"/>
      <c r="I137" s="22" t="n"/>
      <c r="J137" s="24">
        <f>IF($I137="","",IFERROR(VLOOKUP($I137,Settings!$G$10:$H$15,2,FALSE),""))</f>
        <v/>
      </c>
      <c r="K137" s="18">
        <f>IF(OR($H137="",$J137=""),"",$H137*$J137)</f>
        <v/>
      </c>
      <c r="L137" s="21" t="n"/>
      <c r="M137" s="25">
        <f>IF(OR($I137="",$L137=""),"",IF(AND($L137&lt;=TODAY(),$I137&lt;&gt;Settings!$G$14,$I137&lt;&gt;Settings!$G$15),"CALL TODAY",""))</f>
        <v/>
      </c>
      <c r="N137" s="22" t="n"/>
    </row>
    <row r="138">
      <c r="B138" s="21" t="n"/>
      <c r="C138" s="22" t="n"/>
      <c r="D138" s="22" t="n"/>
      <c r="E138" s="22" t="n"/>
      <c r="F138" s="22" t="n"/>
      <c r="G138" s="22" t="n"/>
      <c r="H138" s="23" t="n"/>
      <c r="I138" s="22" t="n"/>
      <c r="J138" s="24">
        <f>IF($I138="","",IFERROR(VLOOKUP($I138,Settings!$G$10:$H$15,2,FALSE),""))</f>
        <v/>
      </c>
      <c r="K138" s="18">
        <f>IF(OR($H138="",$J138=""),"",$H138*$J138)</f>
        <v/>
      </c>
      <c r="L138" s="21" t="n"/>
      <c r="M138" s="25">
        <f>IF(OR($I138="",$L138=""),"",IF(AND($L138&lt;=TODAY(),$I138&lt;&gt;Settings!$G$14,$I138&lt;&gt;Settings!$G$15),"CALL TODAY",""))</f>
        <v/>
      </c>
      <c r="N138" s="22" t="n"/>
    </row>
    <row r="139">
      <c r="B139" s="21" t="n"/>
      <c r="C139" s="22" t="n"/>
      <c r="D139" s="22" t="n"/>
      <c r="E139" s="22" t="n"/>
      <c r="F139" s="22" t="n"/>
      <c r="G139" s="22" t="n"/>
      <c r="H139" s="23" t="n"/>
      <c r="I139" s="22" t="n"/>
      <c r="J139" s="24">
        <f>IF($I139="","",IFERROR(VLOOKUP($I139,Settings!$G$10:$H$15,2,FALSE),""))</f>
        <v/>
      </c>
      <c r="K139" s="18">
        <f>IF(OR($H139="",$J139=""),"",$H139*$J139)</f>
        <v/>
      </c>
      <c r="L139" s="21" t="n"/>
      <c r="M139" s="25">
        <f>IF(OR($I139="",$L139=""),"",IF(AND($L139&lt;=TODAY(),$I139&lt;&gt;Settings!$G$14,$I139&lt;&gt;Settings!$G$15),"CALL TODAY",""))</f>
        <v/>
      </c>
      <c r="N139" s="22" t="n"/>
    </row>
    <row r="140">
      <c r="B140" s="21" t="n"/>
      <c r="C140" s="22" t="n"/>
      <c r="D140" s="22" t="n"/>
      <c r="E140" s="22" t="n"/>
      <c r="F140" s="22" t="n"/>
      <c r="G140" s="22" t="n"/>
      <c r="H140" s="23" t="n"/>
      <c r="I140" s="22" t="n"/>
      <c r="J140" s="24">
        <f>IF($I140="","",IFERROR(VLOOKUP($I140,Settings!$G$10:$H$15,2,FALSE),""))</f>
        <v/>
      </c>
      <c r="K140" s="18">
        <f>IF(OR($H140="",$J140=""),"",$H140*$J140)</f>
        <v/>
      </c>
      <c r="L140" s="21" t="n"/>
      <c r="M140" s="25">
        <f>IF(OR($I140="",$L140=""),"",IF(AND($L140&lt;=TODAY(),$I140&lt;&gt;Settings!$G$14,$I140&lt;&gt;Settings!$G$15),"CALL TODAY",""))</f>
        <v/>
      </c>
      <c r="N140" s="22" t="n"/>
    </row>
    <row r="141">
      <c r="B141" s="21" t="n"/>
      <c r="C141" s="22" t="n"/>
      <c r="D141" s="22" t="n"/>
      <c r="E141" s="22" t="n"/>
      <c r="F141" s="22" t="n"/>
      <c r="G141" s="22" t="n"/>
      <c r="H141" s="23" t="n"/>
      <c r="I141" s="22" t="n"/>
      <c r="J141" s="24">
        <f>IF($I141="","",IFERROR(VLOOKUP($I141,Settings!$G$10:$H$15,2,FALSE),""))</f>
        <v/>
      </c>
      <c r="K141" s="18">
        <f>IF(OR($H141="",$J141=""),"",$H141*$J141)</f>
        <v/>
      </c>
      <c r="L141" s="21" t="n"/>
      <c r="M141" s="25">
        <f>IF(OR($I141="",$L141=""),"",IF(AND($L141&lt;=TODAY(),$I141&lt;&gt;Settings!$G$14,$I141&lt;&gt;Settings!$G$15),"CALL TODAY",""))</f>
        <v/>
      </c>
      <c r="N141" s="22" t="n"/>
    </row>
    <row r="142">
      <c r="B142" s="21" t="n"/>
      <c r="C142" s="22" t="n"/>
      <c r="D142" s="22" t="n"/>
      <c r="E142" s="22" t="n"/>
      <c r="F142" s="22" t="n"/>
      <c r="G142" s="22" t="n"/>
      <c r="H142" s="23" t="n"/>
      <c r="I142" s="22" t="n"/>
      <c r="J142" s="24">
        <f>IF($I142="","",IFERROR(VLOOKUP($I142,Settings!$G$10:$H$15,2,FALSE),""))</f>
        <v/>
      </c>
      <c r="K142" s="18">
        <f>IF(OR($H142="",$J142=""),"",$H142*$J142)</f>
        <v/>
      </c>
      <c r="L142" s="21" t="n"/>
      <c r="M142" s="25">
        <f>IF(OR($I142="",$L142=""),"",IF(AND($L142&lt;=TODAY(),$I142&lt;&gt;Settings!$G$14,$I142&lt;&gt;Settings!$G$15),"CALL TODAY",""))</f>
        <v/>
      </c>
      <c r="N142" s="22" t="n"/>
    </row>
    <row r="143">
      <c r="B143" s="21" t="n"/>
      <c r="C143" s="22" t="n"/>
      <c r="D143" s="22" t="n"/>
      <c r="E143" s="22" t="n"/>
      <c r="F143" s="22" t="n"/>
      <c r="G143" s="22" t="n"/>
      <c r="H143" s="23" t="n"/>
      <c r="I143" s="22" t="n"/>
      <c r="J143" s="24">
        <f>IF($I143="","",IFERROR(VLOOKUP($I143,Settings!$G$10:$H$15,2,FALSE),""))</f>
        <v/>
      </c>
      <c r="K143" s="18">
        <f>IF(OR($H143="",$J143=""),"",$H143*$J143)</f>
        <v/>
      </c>
      <c r="L143" s="21" t="n"/>
      <c r="M143" s="25">
        <f>IF(OR($I143="",$L143=""),"",IF(AND($L143&lt;=TODAY(),$I143&lt;&gt;Settings!$G$14,$I143&lt;&gt;Settings!$G$15),"CALL TODAY",""))</f>
        <v/>
      </c>
      <c r="N143" s="22" t="n"/>
    </row>
    <row r="144">
      <c r="B144" s="21" t="n"/>
      <c r="C144" s="22" t="n"/>
      <c r="D144" s="22" t="n"/>
      <c r="E144" s="22" t="n"/>
      <c r="F144" s="22" t="n"/>
      <c r="G144" s="22" t="n"/>
      <c r="H144" s="23" t="n"/>
      <c r="I144" s="22" t="n"/>
      <c r="J144" s="24">
        <f>IF($I144="","",IFERROR(VLOOKUP($I144,Settings!$G$10:$H$15,2,FALSE),""))</f>
        <v/>
      </c>
      <c r="K144" s="18">
        <f>IF(OR($H144="",$J144=""),"",$H144*$J144)</f>
        <v/>
      </c>
      <c r="L144" s="21" t="n"/>
      <c r="M144" s="25">
        <f>IF(OR($I144="",$L144=""),"",IF(AND($L144&lt;=TODAY(),$I144&lt;&gt;Settings!$G$14,$I144&lt;&gt;Settings!$G$15),"CALL TODAY",""))</f>
        <v/>
      </c>
      <c r="N144" s="22" t="n"/>
    </row>
    <row r="145">
      <c r="B145" s="21" t="n"/>
      <c r="C145" s="22" t="n"/>
      <c r="D145" s="22" t="n"/>
      <c r="E145" s="22" t="n"/>
      <c r="F145" s="22" t="n"/>
      <c r="G145" s="22" t="n"/>
      <c r="H145" s="23" t="n"/>
      <c r="I145" s="22" t="n"/>
      <c r="J145" s="24">
        <f>IF($I145="","",IFERROR(VLOOKUP($I145,Settings!$G$10:$H$15,2,FALSE),""))</f>
        <v/>
      </c>
      <c r="K145" s="18">
        <f>IF(OR($H145="",$J145=""),"",$H145*$J145)</f>
        <v/>
      </c>
      <c r="L145" s="21" t="n"/>
      <c r="M145" s="25">
        <f>IF(OR($I145="",$L145=""),"",IF(AND($L145&lt;=TODAY(),$I145&lt;&gt;Settings!$G$14,$I145&lt;&gt;Settings!$G$15),"CALL TODAY",""))</f>
        <v/>
      </c>
      <c r="N145" s="22" t="n"/>
    </row>
    <row r="146">
      <c r="B146" s="21" t="n"/>
      <c r="C146" s="22" t="n"/>
      <c r="D146" s="22" t="n"/>
      <c r="E146" s="22" t="n"/>
      <c r="F146" s="22" t="n"/>
      <c r="G146" s="22" t="n"/>
      <c r="H146" s="23" t="n"/>
      <c r="I146" s="22" t="n"/>
      <c r="J146" s="24">
        <f>IF($I146="","",IFERROR(VLOOKUP($I146,Settings!$G$10:$H$15,2,FALSE),""))</f>
        <v/>
      </c>
      <c r="K146" s="18">
        <f>IF(OR($H146="",$J146=""),"",$H146*$J146)</f>
        <v/>
      </c>
      <c r="L146" s="21" t="n"/>
      <c r="M146" s="25">
        <f>IF(OR($I146="",$L146=""),"",IF(AND($L146&lt;=TODAY(),$I146&lt;&gt;Settings!$G$14,$I146&lt;&gt;Settings!$G$15),"CALL TODAY",""))</f>
        <v/>
      </c>
      <c r="N146" s="22" t="n"/>
    </row>
    <row r="147">
      <c r="B147" s="21" t="n"/>
      <c r="C147" s="22" t="n"/>
      <c r="D147" s="22" t="n"/>
      <c r="E147" s="22" t="n"/>
      <c r="F147" s="22" t="n"/>
      <c r="G147" s="22" t="n"/>
      <c r="H147" s="23" t="n"/>
      <c r="I147" s="22" t="n"/>
      <c r="J147" s="24">
        <f>IF($I147="","",IFERROR(VLOOKUP($I147,Settings!$G$10:$H$15,2,FALSE),""))</f>
        <v/>
      </c>
      <c r="K147" s="18">
        <f>IF(OR($H147="",$J147=""),"",$H147*$J147)</f>
        <v/>
      </c>
      <c r="L147" s="21" t="n"/>
      <c r="M147" s="25">
        <f>IF(OR($I147="",$L147=""),"",IF(AND($L147&lt;=TODAY(),$I147&lt;&gt;Settings!$G$14,$I147&lt;&gt;Settings!$G$15),"CALL TODAY",""))</f>
        <v/>
      </c>
      <c r="N147" s="22" t="n"/>
    </row>
    <row r="148">
      <c r="B148" s="21" t="n"/>
      <c r="C148" s="22" t="n"/>
      <c r="D148" s="22" t="n"/>
      <c r="E148" s="22" t="n"/>
      <c r="F148" s="22" t="n"/>
      <c r="G148" s="22" t="n"/>
      <c r="H148" s="23" t="n"/>
      <c r="I148" s="22" t="n"/>
      <c r="J148" s="24">
        <f>IF($I148="","",IFERROR(VLOOKUP($I148,Settings!$G$10:$H$15,2,FALSE),""))</f>
        <v/>
      </c>
      <c r="K148" s="18">
        <f>IF(OR($H148="",$J148=""),"",$H148*$J148)</f>
        <v/>
      </c>
      <c r="L148" s="21" t="n"/>
      <c r="M148" s="25">
        <f>IF(OR($I148="",$L148=""),"",IF(AND($L148&lt;=TODAY(),$I148&lt;&gt;Settings!$G$14,$I148&lt;&gt;Settings!$G$15),"CALL TODAY",""))</f>
        <v/>
      </c>
      <c r="N148" s="22" t="n"/>
    </row>
    <row r="149">
      <c r="B149" s="21" t="n"/>
      <c r="C149" s="22" t="n"/>
      <c r="D149" s="22" t="n"/>
      <c r="E149" s="22" t="n"/>
      <c r="F149" s="22" t="n"/>
      <c r="G149" s="22" t="n"/>
      <c r="H149" s="23" t="n"/>
      <c r="I149" s="22" t="n"/>
      <c r="J149" s="24">
        <f>IF($I149="","",IFERROR(VLOOKUP($I149,Settings!$G$10:$H$15,2,FALSE),""))</f>
        <v/>
      </c>
      <c r="K149" s="18">
        <f>IF(OR($H149="",$J149=""),"",$H149*$J149)</f>
        <v/>
      </c>
      <c r="L149" s="21" t="n"/>
      <c r="M149" s="25">
        <f>IF(OR($I149="",$L149=""),"",IF(AND($L149&lt;=TODAY(),$I149&lt;&gt;Settings!$G$14,$I149&lt;&gt;Settings!$G$15),"CALL TODAY",""))</f>
        <v/>
      </c>
      <c r="N149" s="22" t="n"/>
    </row>
    <row r="150">
      <c r="B150" s="21" t="n"/>
      <c r="C150" s="22" t="n"/>
      <c r="D150" s="22" t="n"/>
      <c r="E150" s="22" t="n"/>
      <c r="F150" s="22" t="n"/>
      <c r="G150" s="22" t="n"/>
      <c r="H150" s="23" t="n"/>
      <c r="I150" s="22" t="n"/>
      <c r="J150" s="24">
        <f>IF($I150="","",IFERROR(VLOOKUP($I150,Settings!$G$10:$H$15,2,FALSE),""))</f>
        <v/>
      </c>
      <c r="K150" s="18">
        <f>IF(OR($H150="",$J150=""),"",$H150*$J150)</f>
        <v/>
      </c>
      <c r="L150" s="21" t="n"/>
      <c r="M150" s="25">
        <f>IF(OR($I150="",$L150=""),"",IF(AND($L150&lt;=TODAY(),$I150&lt;&gt;Settings!$G$14,$I150&lt;&gt;Settings!$G$15),"CALL TODAY",""))</f>
        <v/>
      </c>
      <c r="N150" s="22" t="n"/>
    </row>
    <row r="151">
      <c r="B151" s="21" t="n"/>
      <c r="C151" s="22" t="n"/>
      <c r="D151" s="22" t="n"/>
      <c r="E151" s="22" t="n"/>
      <c r="F151" s="22" t="n"/>
      <c r="G151" s="22" t="n"/>
      <c r="H151" s="23" t="n"/>
      <c r="I151" s="22" t="n"/>
      <c r="J151" s="24">
        <f>IF($I151="","",IFERROR(VLOOKUP($I151,Settings!$G$10:$H$15,2,FALSE),""))</f>
        <v/>
      </c>
      <c r="K151" s="18">
        <f>IF(OR($H151="",$J151=""),"",$H151*$J151)</f>
        <v/>
      </c>
      <c r="L151" s="21" t="n"/>
      <c r="M151" s="25">
        <f>IF(OR($I151="",$L151=""),"",IF(AND($L151&lt;=TODAY(),$I151&lt;&gt;Settings!$G$14,$I151&lt;&gt;Settings!$G$15),"CALL TODAY",""))</f>
        <v/>
      </c>
      <c r="N151" s="22" t="n"/>
    </row>
    <row r="152">
      <c r="B152" s="21" t="n"/>
      <c r="C152" s="22" t="n"/>
      <c r="D152" s="22" t="n"/>
      <c r="E152" s="22" t="n"/>
      <c r="F152" s="22" t="n"/>
      <c r="G152" s="22" t="n"/>
      <c r="H152" s="23" t="n"/>
      <c r="I152" s="22" t="n"/>
      <c r="J152" s="24">
        <f>IF($I152="","",IFERROR(VLOOKUP($I152,Settings!$G$10:$H$15,2,FALSE),""))</f>
        <v/>
      </c>
      <c r="K152" s="18">
        <f>IF(OR($H152="",$J152=""),"",$H152*$J152)</f>
        <v/>
      </c>
      <c r="L152" s="21" t="n"/>
      <c r="M152" s="25">
        <f>IF(OR($I152="",$L152=""),"",IF(AND($L152&lt;=TODAY(),$I152&lt;&gt;Settings!$G$14,$I152&lt;&gt;Settings!$G$15),"CALL TODAY",""))</f>
        <v/>
      </c>
      <c r="N152" s="22" t="n"/>
    </row>
    <row r="153">
      <c r="B153" s="21" t="n"/>
      <c r="C153" s="22" t="n"/>
      <c r="D153" s="22" t="n"/>
      <c r="E153" s="22" t="n"/>
      <c r="F153" s="22" t="n"/>
      <c r="G153" s="22" t="n"/>
      <c r="H153" s="23" t="n"/>
      <c r="I153" s="22" t="n"/>
      <c r="J153" s="24">
        <f>IF($I153="","",IFERROR(VLOOKUP($I153,Settings!$G$10:$H$15,2,FALSE),""))</f>
        <v/>
      </c>
      <c r="K153" s="18">
        <f>IF(OR($H153="",$J153=""),"",$H153*$J153)</f>
        <v/>
      </c>
      <c r="L153" s="21" t="n"/>
      <c r="M153" s="25">
        <f>IF(OR($I153="",$L153=""),"",IF(AND($L153&lt;=TODAY(),$I153&lt;&gt;Settings!$G$14,$I153&lt;&gt;Settings!$G$15),"CALL TODAY",""))</f>
        <v/>
      </c>
      <c r="N153" s="22" t="n"/>
    </row>
    <row r="154">
      <c r="B154" s="21" t="n"/>
      <c r="C154" s="22" t="n"/>
      <c r="D154" s="22" t="n"/>
      <c r="E154" s="22" t="n"/>
      <c r="F154" s="22" t="n"/>
      <c r="G154" s="22" t="n"/>
      <c r="H154" s="23" t="n"/>
      <c r="I154" s="22" t="n"/>
      <c r="J154" s="24">
        <f>IF($I154="","",IFERROR(VLOOKUP($I154,Settings!$G$10:$H$15,2,FALSE),""))</f>
        <v/>
      </c>
      <c r="K154" s="18">
        <f>IF(OR($H154="",$J154=""),"",$H154*$J154)</f>
        <v/>
      </c>
      <c r="L154" s="21" t="n"/>
      <c r="M154" s="25">
        <f>IF(OR($I154="",$L154=""),"",IF(AND($L154&lt;=TODAY(),$I154&lt;&gt;Settings!$G$14,$I154&lt;&gt;Settings!$G$15),"CALL TODAY",""))</f>
        <v/>
      </c>
      <c r="N154" s="22" t="n"/>
    </row>
    <row r="155">
      <c r="B155" s="21" t="n"/>
      <c r="C155" s="22" t="n"/>
      <c r="D155" s="22" t="n"/>
      <c r="E155" s="22" t="n"/>
      <c r="F155" s="22" t="n"/>
      <c r="G155" s="22" t="n"/>
      <c r="H155" s="23" t="n"/>
      <c r="I155" s="22" t="n"/>
      <c r="J155" s="24">
        <f>IF($I155="","",IFERROR(VLOOKUP($I155,Settings!$G$10:$H$15,2,FALSE),""))</f>
        <v/>
      </c>
      <c r="K155" s="18">
        <f>IF(OR($H155="",$J155=""),"",$H155*$J155)</f>
        <v/>
      </c>
      <c r="L155" s="21" t="n"/>
      <c r="M155" s="25">
        <f>IF(OR($I155="",$L155=""),"",IF(AND($L155&lt;=TODAY(),$I155&lt;&gt;Settings!$G$14,$I155&lt;&gt;Settings!$G$15),"CALL TODAY",""))</f>
        <v/>
      </c>
      <c r="N155" s="22" t="n"/>
    </row>
    <row r="156">
      <c r="B156" s="21" t="n"/>
      <c r="C156" s="22" t="n"/>
      <c r="D156" s="22" t="n"/>
      <c r="E156" s="22" t="n"/>
      <c r="F156" s="22" t="n"/>
      <c r="G156" s="22" t="n"/>
      <c r="H156" s="23" t="n"/>
      <c r="I156" s="22" t="n"/>
      <c r="J156" s="24">
        <f>IF($I156="","",IFERROR(VLOOKUP($I156,Settings!$G$10:$H$15,2,FALSE),""))</f>
        <v/>
      </c>
      <c r="K156" s="18">
        <f>IF(OR($H156="",$J156=""),"",$H156*$J156)</f>
        <v/>
      </c>
      <c r="L156" s="21" t="n"/>
      <c r="M156" s="25">
        <f>IF(OR($I156="",$L156=""),"",IF(AND($L156&lt;=TODAY(),$I156&lt;&gt;Settings!$G$14,$I156&lt;&gt;Settings!$G$15),"CALL TODAY",""))</f>
        <v/>
      </c>
      <c r="N156" s="22" t="n"/>
    </row>
    <row r="157">
      <c r="B157" s="21" t="n"/>
      <c r="C157" s="22" t="n"/>
      <c r="D157" s="22" t="n"/>
      <c r="E157" s="22" t="n"/>
      <c r="F157" s="22" t="n"/>
      <c r="G157" s="22" t="n"/>
      <c r="H157" s="23" t="n"/>
      <c r="I157" s="22" t="n"/>
      <c r="J157" s="24">
        <f>IF($I157="","",IFERROR(VLOOKUP($I157,Settings!$G$10:$H$15,2,FALSE),""))</f>
        <v/>
      </c>
      <c r="K157" s="18">
        <f>IF(OR($H157="",$J157=""),"",$H157*$J157)</f>
        <v/>
      </c>
      <c r="L157" s="21" t="n"/>
      <c r="M157" s="25">
        <f>IF(OR($I157="",$L157=""),"",IF(AND($L157&lt;=TODAY(),$I157&lt;&gt;Settings!$G$14,$I157&lt;&gt;Settings!$G$15),"CALL TODAY",""))</f>
        <v/>
      </c>
      <c r="N157" s="22" t="n"/>
    </row>
    <row r="158">
      <c r="B158" s="21" t="n"/>
      <c r="C158" s="22" t="n"/>
      <c r="D158" s="22" t="n"/>
      <c r="E158" s="22" t="n"/>
      <c r="F158" s="22" t="n"/>
      <c r="G158" s="22" t="n"/>
      <c r="H158" s="23" t="n"/>
      <c r="I158" s="22" t="n"/>
      <c r="J158" s="24">
        <f>IF($I158="","",IFERROR(VLOOKUP($I158,Settings!$G$10:$H$15,2,FALSE),""))</f>
        <v/>
      </c>
      <c r="K158" s="18">
        <f>IF(OR($H158="",$J158=""),"",$H158*$J158)</f>
        <v/>
      </c>
      <c r="L158" s="21" t="n"/>
      <c r="M158" s="25">
        <f>IF(OR($I158="",$L158=""),"",IF(AND($L158&lt;=TODAY(),$I158&lt;&gt;Settings!$G$14,$I158&lt;&gt;Settings!$G$15),"CALL TODAY",""))</f>
        <v/>
      </c>
      <c r="N158" s="22" t="n"/>
    </row>
    <row r="159">
      <c r="B159" s="21" t="n"/>
      <c r="C159" s="22" t="n"/>
      <c r="D159" s="22" t="n"/>
      <c r="E159" s="22" t="n"/>
      <c r="F159" s="22" t="n"/>
      <c r="G159" s="22" t="n"/>
      <c r="H159" s="23" t="n"/>
      <c r="I159" s="22" t="n"/>
      <c r="J159" s="24">
        <f>IF($I159="","",IFERROR(VLOOKUP($I159,Settings!$G$10:$H$15,2,FALSE),""))</f>
        <v/>
      </c>
      <c r="K159" s="18">
        <f>IF(OR($H159="",$J159=""),"",$H159*$J159)</f>
        <v/>
      </c>
      <c r="L159" s="21" t="n"/>
      <c r="M159" s="25">
        <f>IF(OR($I159="",$L159=""),"",IF(AND($L159&lt;=TODAY(),$I159&lt;&gt;Settings!$G$14,$I159&lt;&gt;Settings!$G$15),"CALL TODAY",""))</f>
        <v/>
      </c>
      <c r="N159" s="22" t="n"/>
    </row>
    <row r="160">
      <c r="B160" s="21" t="n"/>
      <c r="C160" s="22" t="n"/>
      <c r="D160" s="22" t="n"/>
      <c r="E160" s="22" t="n"/>
      <c r="F160" s="22" t="n"/>
      <c r="G160" s="22" t="n"/>
      <c r="H160" s="23" t="n"/>
      <c r="I160" s="22" t="n"/>
      <c r="J160" s="24">
        <f>IF($I160="","",IFERROR(VLOOKUP($I160,Settings!$G$10:$H$15,2,FALSE),""))</f>
        <v/>
      </c>
      <c r="K160" s="18">
        <f>IF(OR($H160="",$J160=""),"",$H160*$J160)</f>
        <v/>
      </c>
      <c r="L160" s="21" t="n"/>
      <c r="M160" s="25">
        <f>IF(OR($I160="",$L160=""),"",IF(AND($L160&lt;=TODAY(),$I160&lt;&gt;Settings!$G$14,$I160&lt;&gt;Settings!$G$15),"CALL TODAY",""))</f>
        <v/>
      </c>
      <c r="N160" s="22" t="n"/>
    </row>
    <row r="161">
      <c r="B161" s="21" t="n"/>
      <c r="C161" s="22" t="n"/>
      <c r="D161" s="22" t="n"/>
      <c r="E161" s="22" t="n"/>
      <c r="F161" s="22" t="n"/>
      <c r="G161" s="22" t="n"/>
      <c r="H161" s="23" t="n"/>
      <c r="I161" s="22" t="n"/>
      <c r="J161" s="24">
        <f>IF($I161="","",IFERROR(VLOOKUP($I161,Settings!$G$10:$H$15,2,FALSE),""))</f>
        <v/>
      </c>
      <c r="K161" s="18">
        <f>IF(OR($H161="",$J161=""),"",$H161*$J161)</f>
        <v/>
      </c>
      <c r="L161" s="21" t="n"/>
      <c r="M161" s="25">
        <f>IF(OR($I161="",$L161=""),"",IF(AND($L161&lt;=TODAY(),$I161&lt;&gt;Settings!$G$14,$I161&lt;&gt;Settings!$G$15),"CALL TODAY",""))</f>
        <v/>
      </c>
      <c r="N161" s="22" t="n"/>
    </row>
    <row r="162">
      <c r="B162" s="21" t="n"/>
      <c r="C162" s="22" t="n"/>
      <c r="D162" s="22" t="n"/>
      <c r="E162" s="22" t="n"/>
      <c r="F162" s="22" t="n"/>
      <c r="G162" s="22" t="n"/>
      <c r="H162" s="23" t="n"/>
      <c r="I162" s="22" t="n"/>
      <c r="J162" s="24">
        <f>IF($I162="","",IFERROR(VLOOKUP($I162,Settings!$G$10:$H$15,2,FALSE),""))</f>
        <v/>
      </c>
      <c r="K162" s="18">
        <f>IF(OR($H162="",$J162=""),"",$H162*$J162)</f>
        <v/>
      </c>
      <c r="L162" s="21" t="n"/>
      <c r="M162" s="25">
        <f>IF(OR($I162="",$L162=""),"",IF(AND($L162&lt;=TODAY(),$I162&lt;&gt;Settings!$G$14,$I162&lt;&gt;Settings!$G$15),"CALL TODAY",""))</f>
        <v/>
      </c>
      <c r="N162" s="22" t="n"/>
    </row>
    <row r="163">
      <c r="B163" s="21" t="n"/>
      <c r="C163" s="22" t="n"/>
      <c r="D163" s="22" t="n"/>
      <c r="E163" s="22" t="n"/>
      <c r="F163" s="22" t="n"/>
      <c r="G163" s="22" t="n"/>
      <c r="H163" s="23" t="n"/>
      <c r="I163" s="22" t="n"/>
      <c r="J163" s="24">
        <f>IF($I163="","",IFERROR(VLOOKUP($I163,Settings!$G$10:$H$15,2,FALSE),""))</f>
        <v/>
      </c>
      <c r="K163" s="18">
        <f>IF(OR($H163="",$J163=""),"",$H163*$J163)</f>
        <v/>
      </c>
      <c r="L163" s="21" t="n"/>
      <c r="M163" s="25">
        <f>IF(OR($I163="",$L163=""),"",IF(AND($L163&lt;=TODAY(),$I163&lt;&gt;Settings!$G$14,$I163&lt;&gt;Settings!$G$15),"CALL TODAY",""))</f>
        <v/>
      </c>
      <c r="N163" s="22" t="n"/>
    </row>
    <row r="164">
      <c r="B164" s="21" t="n"/>
      <c r="C164" s="22" t="n"/>
      <c r="D164" s="22" t="n"/>
      <c r="E164" s="22" t="n"/>
      <c r="F164" s="22" t="n"/>
      <c r="G164" s="22" t="n"/>
      <c r="H164" s="23" t="n"/>
      <c r="I164" s="22" t="n"/>
      <c r="J164" s="24">
        <f>IF($I164="","",IFERROR(VLOOKUP($I164,Settings!$G$10:$H$15,2,FALSE),""))</f>
        <v/>
      </c>
      <c r="K164" s="18">
        <f>IF(OR($H164="",$J164=""),"",$H164*$J164)</f>
        <v/>
      </c>
      <c r="L164" s="21" t="n"/>
      <c r="M164" s="25">
        <f>IF(OR($I164="",$L164=""),"",IF(AND($L164&lt;=TODAY(),$I164&lt;&gt;Settings!$G$14,$I164&lt;&gt;Settings!$G$15),"CALL TODAY",""))</f>
        <v/>
      </c>
      <c r="N164" s="22" t="n"/>
    </row>
    <row r="165">
      <c r="B165" s="21" t="n"/>
      <c r="C165" s="22" t="n"/>
      <c r="D165" s="22" t="n"/>
      <c r="E165" s="22" t="n"/>
      <c r="F165" s="22" t="n"/>
      <c r="G165" s="22" t="n"/>
      <c r="H165" s="23" t="n"/>
      <c r="I165" s="22" t="n"/>
      <c r="J165" s="24">
        <f>IF($I165="","",IFERROR(VLOOKUP($I165,Settings!$G$10:$H$15,2,FALSE),""))</f>
        <v/>
      </c>
      <c r="K165" s="18">
        <f>IF(OR($H165="",$J165=""),"",$H165*$J165)</f>
        <v/>
      </c>
      <c r="L165" s="21" t="n"/>
      <c r="M165" s="25">
        <f>IF(OR($I165="",$L165=""),"",IF(AND($L165&lt;=TODAY(),$I165&lt;&gt;Settings!$G$14,$I165&lt;&gt;Settings!$G$15),"CALL TODAY",""))</f>
        <v/>
      </c>
      <c r="N165" s="22" t="n"/>
    </row>
    <row r="166">
      <c r="B166" s="21" t="n"/>
      <c r="C166" s="22" t="n"/>
      <c r="D166" s="22" t="n"/>
      <c r="E166" s="22" t="n"/>
      <c r="F166" s="22" t="n"/>
      <c r="G166" s="22" t="n"/>
      <c r="H166" s="23" t="n"/>
      <c r="I166" s="22" t="n"/>
      <c r="J166" s="24">
        <f>IF($I166="","",IFERROR(VLOOKUP($I166,Settings!$G$10:$H$15,2,FALSE),""))</f>
        <v/>
      </c>
      <c r="K166" s="18">
        <f>IF(OR($H166="",$J166=""),"",$H166*$J166)</f>
        <v/>
      </c>
      <c r="L166" s="21" t="n"/>
      <c r="M166" s="25">
        <f>IF(OR($I166="",$L166=""),"",IF(AND($L166&lt;=TODAY(),$I166&lt;&gt;Settings!$G$14,$I166&lt;&gt;Settings!$G$15),"CALL TODAY",""))</f>
        <v/>
      </c>
      <c r="N166" s="22" t="n"/>
    </row>
    <row r="167">
      <c r="B167" s="21" t="n"/>
      <c r="C167" s="22" t="n"/>
      <c r="D167" s="22" t="n"/>
      <c r="E167" s="22" t="n"/>
      <c r="F167" s="22" t="n"/>
      <c r="G167" s="22" t="n"/>
      <c r="H167" s="23" t="n"/>
      <c r="I167" s="22" t="n"/>
      <c r="J167" s="24">
        <f>IF($I167="","",IFERROR(VLOOKUP($I167,Settings!$G$10:$H$15,2,FALSE),""))</f>
        <v/>
      </c>
      <c r="K167" s="18">
        <f>IF(OR($H167="",$J167=""),"",$H167*$J167)</f>
        <v/>
      </c>
      <c r="L167" s="21" t="n"/>
      <c r="M167" s="25">
        <f>IF(OR($I167="",$L167=""),"",IF(AND($L167&lt;=TODAY(),$I167&lt;&gt;Settings!$G$14,$I167&lt;&gt;Settings!$G$15),"CALL TODAY",""))</f>
        <v/>
      </c>
      <c r="N167" s="22" t="n"/>
    </row>
    <row r="168">
      <c r="B168" s="21" t="n"/>
      <c r="C168" s="22" t="n"/>
      <c r="D168" s="22" t="n"/>
      <c r="E168" s="22" t="n"/>
      <c r="F168" s="22" t="n"/>
      <c r="G168" s="22" t="n"/>
      <c r="H168" s="23" t="n"/>
      <c r="I168" s="22" t="n"/>
      <c r="J168" s="24">
        <f>IF($I168="","",IFERROR(VLOOKUP($I168,Settings!$G$10:$H$15,2,FALSE),""))</f>
        <v/>
      </c>
      <c r="K168" s="18">
        <f>IF(OR($H168="",$J168=""),"",$H168*$J168)</f>
        <v/>
      </c>
      <c r="L168" s="21" t="n"/>
      <c r="M168" s="25">
        <f>IF(OR($I168="",$L168=""),"",IF(AND($L168&lt;=TODAY(),$I168&lt;&gt;Settings!$G$14,$I168&lt;&gt;Settings!$G$15),"CALL TODAY",""))</f>
        <v/>
      </c>
      <c r="N168" s="22" t="n"/>
    </row>
    <row r="169">
      <c r="B169" s="21" t="n"/>
      <c r="C169" s="22" t="n"/>
      <c r="D169" s="22" t="n"/>
      <c r="E169" s="22" t="n"/>
      <c r="F169" s="22" t="n"/>
      <c r="G169" s="22" t="n"/>
      <c r="H169" s="23" t="n"/>
      <c r="I169" s="22" t="n"/>
      <c r="J169" s="24">
        <f>IF($I169="","",IFERROR(VLOOKUP($I169,Settings!$G$10:$H$15,2,FALSE),""))</f>
        <v/>
      </c>
      <c r="K169" s="18">
        <f>IF(OR($H169="",$J169=""),"",$H169*$J169)</f>
        <v/>
      </c>
      <c r="L169" s="21" t="n"/>
      <c r="M169" s="25">
        <f>IF(OR($I169="",$L169=""),"",IF(AND($L169&lt;=TODAY(),$I169&lt;&gt;Settings!$G$14,$I169&lt;&gt;Settings!$G$15),"CALL TODAY",""))</f>
        <v/>
      </c>
      <c r="N169" s="22" t="n"/>
    </row>
    <row r="170">
      <c r="B170" s="21" t="n"/>
      <c r="C170" s="22" t="n"/>
      <c r="D170" s="22" t="n"/>
      <c r="E170" s="22" t="n"/>
      <c r="F170" s="22" t="n"/>
      <c r="G170" s="22" t="n"/>
      <c r="H170" s="23" t="n"/>
      <c r="I170" s="22" t="n"/>
      <c r="J170" s="24">
        <f>IF($I170="","",IFERROR(VLOOKUP($I170,Settings!$G$10:$H$15,2,FALSE),""))</f>
        <v/>
      </c>
      <c r="K170" s="18">
        <f>IF(OR($H170="",$J170=""),"",$H170*$J170)</f>
        <v/>
      </c>
      <c r="L170" s="21" t="n"/>
      <c r="M170" s="25">
        <f>IF(OR($I170="",$L170=""),"",IF(AND($L170&lt;=TODAY(),$I170&lt;&gt;Settings!$G$14,$I170&lt;&gt;Settings!$G$15),"CALL TODAY",""))</f>
        <v/>
      </c>
      <c r="N170" s="22" t="n"/>
    </row>
    <row r="171">
      <c r="B171" s="21" t="n"/>
      <c r="C171" s="22" t="n"/>
      <c r="D171" s="22" t="n"/>
      <c r="E171" s="22" t="n"/>
      <c r="F171" s="22" t="n"/>
      <c r="G171" s="22" t="n"/>
      <c r="H171" s="23" t="n"/>
      <c r="I171" s="22" t="n"/>
      <c r="J171" s="24">
        <f>IF($I171="","",IFERROR(VLOOKUP($I171,Settings!$G$10:$H$15,2,FALSE),""))</f>
        <v/>
      </c>
      <c r="K171" s="18">
        <f>IF(OR($H171="",$J171=""),"",$H171*$J171)</f>
        <v/>
      </c>
      <c r="L171" s="21" t="n"/>
      <c r="M171" s="25">
        <f>IF(OR($I171="",$L171=""),"",IF(AND($L171&lt;=TODAY(),$I171&lt;&gt;Settings!$G$14,$I171&lt;&gt;Settings!$G$15),"CALL TODAY",""))</f>
        <v/>
      </c>
      <c r="N171" s="22" t="n"/>
    </row>
    <row r="172">
      <c r="B172" s="21" t="n"/>
      <c r="C172" s="22" t="n"/>
      <c r="D172" s="22" t="n"/>
      <c r="E172" s="22" t="n"/>
      <c r="F172" s="22" t="n"/>
      <c r="G172" s="22" t="n"/>
      <c r="H172" s="23" t="n"/>
      <c r="I172" s="22" t="n"/>
      <c r="J172" s="24">
        <f>IF($I172="","",IFERROR(VLOOKUP($I172,Settings!$G$10:$H$15,2,FALSE),""))</f>
        <v/>
      </c>
      <c r="K172" s="18">
        <f>IF(OR($H172="",$J172=""),"",$H172*$J172)</f>
        <v/>
      </c>
      <c r="L172" s="21" t="n"/>
      <c r="M172" s="25">
        <f>IF(OR($I172="",$L172=""),"",IF(AND($L172&lt;=TODAY(),$I172&lt;&gt;Settings!$G$14,$I172&lt;&gt;Settings!$G$15),"CALL TODAY",""))</f>
        <v/>
      </c>
      <c r="N172" s="22" t="n"/>
    </row>
    <row r="173">
      <c r="B173" s="21" t="n"/>
      <c r="C173" s="22" t="n"/>
      <c r="D173" s="22" t="n"/>
      <c r="E173" s="22" t="n"/>
      <c r="F173" s="22" t="n"/>
      <c r="G173" s="22" t="n"/>
      <c r="H173" s="23" t="n"/>
      <c r="I173" s="22" t="n"/>
      <c r="J173" s="24">
        <f>IF($I173="","",IFERROR(VLOOKUP($I173,Settings!$G$10:$H$15,2,FALSE),""))</f>
        <v/>
      </c>
      <c r="K173" s="18">
        <f>IF(OR($H173="",$J173=""),"",$H173*$J173)</f>
        <v/>
      </c>
      <c r="L173" s="21" t="n"/>
      <c r="M173" s="25">
        <f>IF(OR($I173="",$L173=""),"",IF(AND($L173&lt;=TODAY(),$I173&lt;&gt;Settings!$G$14,$I173&lt;&gt;Settings!$G$15),"CALL TODAY",""))</f>
        <v/>
      </c>
      <c r="N173" s="22" t="n"/>
    </row>
    <row r="174">
      <c r="B174" s="21" t="n"/>
      <c r="C174" s="22" t="n"/>
      <c r="D174" s="22" t="n"/>
      <c r="E174" s="22" t="n"/>
      <c r="F174" s="22" t="n"/>
      <c r="G174" s="22" t="n"/>
      <c r="H174" s="23" t="n"/>
      <c r="I174" s="22" t="n"/>
      <c r="J174" s="24">
        <f>IF($I174="","",IFERROR(VLOOKUP($I174,Settings!$G$10:$H$15,2,FALSE),""))</f>
        <v/>
      </c>
      <c r="K174" s="18">
        <f>IF(OR($H174="",$J174=""),"",$H174*$J174)</f>
        <v/>
      </c>
      <c r="L174" s="21" t="n"/>
      <c r="M174" s="25">
        <f>IF(OR($I174="",$L174=""),"",IF(AND($L174&lt;=TODAY(),$I174&lt;&gt;Settings!$G$14,$I174&lt;&gt;Settings!$G$15),"CALL TODAY",""))</f>
        <v/>
      </c>
      <c r="N174" s="22" t="n"/>
    </row>
    <row r="175">
      <c r="B175" s="21" t="n"/>
      <c r="C175" s="22" t="n"/>
      <c r="D175" s="22" t="n"/>
      <c r="E175" s="22" t="n"/>
      <c r="F175" s="22" t="n"/>
      <c r="G175" s="22" t="n"/>
      <c r="H175" s="23" t="n"/>
      <c r="I175" s="22" t="n"/>
      <c r="J175" s="24">
        <f>IF($I175="","",IFERROR(VLOOKUP($I175,Settings!$G$10:$H$15,2,FALSE),""))</f>
        <v/>
      </c>
      <c r="K175" s="18">
        <f>IF(OR($H175="",$J175=""),"",$H175*$J175)</f>
        <v/>
      </c>
      <c r="L175" s="21" t="n"/>
      <c r="M175" s="25">
        <f>IF(OR($I175="",$L175=""),"",IF(AND($L175&lt;=TODAY(),$I175&lt;&gt;Settings!$G$14,$I175&lt;&gt;Settings!$G$15),"CALL TODAY",""))</f>
        <v/>
      </c>
      <c r="N175" s="22" t="n"/>
    </row>
    <row r="176">
      <c r="B176" s="21" t="n"/>
      <c r="C176" s="22" t="n"/>
      <c r="D176" s="22" t="n"/>
      <c r="E176" s="22" t="n"/>
      <c r="F176" s="22" t="n"/>
      <c r="G176" s="22" t="n"/>
      <c r="H176" s="23" t="n"/>
      <c r="I176" s="22" t="n"/>
      <c r="J176" s="24">
        <f>IF($I176="","",IFERROR(VLOOKUP($I176,Settings!$G$10:$H$15,2,FALSE),""))</f>
        <v/>
      </c>
      <c r="K176" s="18">
        <f>IF(OR($H176="",$J176=""),"",$H176*$J176)</f>
        <v/>
      </c>
      <c r="L176" s="21" t="n"/>
      <c r="M176" s="25">
        <f>IF(OR($I176="",$L176=""),"",IF(AND($L176&lt;=TODAY(),$I176&lt;&gt;Settings!$G$14,$I176&lt;&gt;Settings!$G$15),"CALL TODAY",""))</f>
        <v/>
      </c>
      <c r="N176" s="22" t="n"/>
    </row>
    <row r="177">
      <c r="B177" s="21" t="n"/>
      <c r="C177" s="22" t="n"/>
      <c r="D177" s="22" t="n"/>
      <c r="E177" s="22" t="n"/>
      <c r="F177" s="22" t="n"/>
      <c r="G177" s="22" t="n"/>
      <c r="H177" s="23" t="n"/>
      <c r="I177" s="22" t="n"/>
      <c r="J177" s="24">
        <f>IF($I177="","",IFERROR(VLOOKUP($I177,Settings!$G$10:$H$15,2,FALSE),""))</f>
        <v/>
      </c>
      <c r="K177" s="18">
        <f>IF(OR($H177="",$J177=""),"",$H177*$J177)</f>
        <v/>
      </c>
      <c r="L177" s="21" t="n"/>
      <c r="M177" s="25">
        <f>IF(OR($I177="",$L177=""),"",IF(AND($L177&lt;=TODAY(),$I177&lt;&gt;Settings!$G$14,$I177&lt;&gt;Settings!$G$15),"CALL TODAY",""))</f>
        <v/>
      </c>
      <c r="N177" s="22" t="n"/>
    </row>
    <row r="178">
      <c r="B178" s="21" t="n"/>
      <c r="C178" s="22" t="n"/>
      <c r="D178" s="22" t="n"/>
      <c r="E178" s="22" t="n"/>
      <c r="F178" s="22" t="n"/>
      <c r="G178" s="22" t="n"/>
      <c r="H178" s="23" t="n"/>
      <c r="I178" s="22" t="n"/>
      <c r="J178" s="24">
        <f>IF($I178="","",IFERROR(VLOOKUP($I178,Settings!$G$10:$H$15,2,FALSE),""))</f>
        <v/>
      </c>
      <c r="K178" s="18">
        <f>IF(OR($H178="",$J178=""),"",$H178*$J178)</f>
        <v/>
      </c>
      <c r="L178" s="21" t="n"/>
      <c r="M178" s="25">
        <f>IF(OR($I178="",$L178=""),"",IF(AND($L178&lt;=TODAY(),$I178&lt;&gt;Settings!$G$14,$I178&lt;&gt;Settings!$G$15),"CALL TODAY",""))</f>
        <v/>
      </c>
      <c r="N178" s="22" t="n"/>
    </row>
    <row r="179">
      <c r="B179" s="21" t="n"/>
      <c r="C179" s="22" t="n"/>
      <c r="D179" s="22" t="n"/>
      <c r="E179" s="22" t="n"/>
      <c r="F179" s="22" t="n"/>
      <c r="G179" s="22" t="n"/>
      <c r="H179" s="23" t="n"/>
      <c r="I179" s="22" t="n"/>
      <c r="J179" s="24">
        <f>IF($I179="","",IFERROR(VLOOKUP($I179,Settings!$G$10:$H$15,2,FALSE),""))</f>
        <v/>
      </c>
      <c r="K179" s="18">
        <f>IF(OR($H179="",$J179=""),"",$H179*$J179)</f>
        <v/>
      </c>
      <c r="L179" s="21" t="n"/>
      <c r="M179" s="25">
        <f>IF(OR($I179="",$L179=""),"",IF(AND($L179&lt;=TODAY(),$I179&lt;&gt;Settings!$G$14,$I179&lt;&gt;Settings!$G$15),"CALL TODAY",""))</f>
        <v/>
      </c>
      <c r="N179" s="22" t="n"/>
    </row>
    <row r="180">
      <c r="B180" s="21" t="n"/>
      <c r="C180" s="22" t="n"/>
      <c r="D180" s="22" t="n"/>
      <c r="E180" s="22" t="n"/>
      <c r="F180" s="22" t="n"/>
      <c r="G180" s="22" t="n"/>
      <c r="H180" s="23" t="n"/>
      <c r="I180" s="22" t="n"/>
      <c r="J180" s="24">
        <f>IF($I180="","",IFERROR(VLOOKUP($I180,Settings!$G$10:$H$15,2,FALSE),""))</f>
        <v/>
      </c>
      <c r="K180" s="18">
        <f>IF(OR($H180="",$J180=""),"",$H180*$J180)</f>
        <v/>
      </c>
      <c r="L180" s="21" t="n"/>
      <c r="M180" s="25">
        <f>IF(OR($I180="",$L180=""),"",IF(AND($L180&lt;=TODAY(),$I180&lt;&gt;Settings!$G$14,$I180&lt;&gt;Settings!$G$15),"CALL TODAY",""))</f>
        <v/>
      </c>
      <c r="N180" s="22" t="n"/>
    </row>
    <row r="181">
      <c r="B181" s="21" t="n"/>
      <c r="C181" s="22" t="n"/>
      <c r="D181" s="22" t="n"/>
      <c r="E181" s="22" t="n"/>
      <c r="F181" s="22" t="n"/>
      <c r="G181" s="22" t="n"/>
      <c r="H181" s="23" t="n"/>
      <c r="I181" s="22" t="n"/>
      <c r="J181" s="24">
        <f>IF($I181="","",IFERROR(VLOOKUP($I181,Settings!$G$10:$H$15,2,FALSE),""))</f>
        <v/>
      </c>
      <c r="K181" s="18">
        <f>IF(OR($H181="",$J181=""),"",$H181*$J181)</f>
        <v/>
      </c>
      <c r="L181" s="21" t="n"/>
      <c r="M181" s="25">
        <f>IF(OR($I181="",$L181=""),"",IF(AND($L181&lt;=TODAY(),$I181&lt;&gt;Settings!$G$14,$I181&lt;&gt;Settings!$G$15),"CALL TODAY",""))</f>
        <v/>
      </c>
      <c r="N181" s="22" t="n"/>
    </row>
    <row r="182">
      <c r="B182" s="21" t="n"/>
      <c r="C182" s="22" t="n"/>
      <c r="D182" s="22" t="n"/>
      <c r="E182" s="22" t="n"/>
      <c r="F182" s="22" t="n"/>
      <c r="G182" s="22" t="n"/>
      <c r="H182" s="23" t="n"/>
      <c r="I182" s="22" t="n"/>
      <c r="J182" s="24">
        <f>IF($I182="","",IFERROR(VLOOKUP($I182,Settings!$G$10:$H$15,2,FALSE),""))</f>
        <v/>
      </c>
      <c r="K182" s="18">
        <f>IF(OR($H182="",$J182=""),"",$H182*$J182)</f>
        <v/>
      </c>
      <c r="L182" s="21" t="n"/>
      <c r="M182" s="25">
        <f>IF(OR($I182="",$L182=""),"",IF(AND($L182&lt;=TODAY(),$I182&lt;&gt;Settings!$G$14,$I182&lt;&gt;Settings!$G$15),"CALL TODAY",""))</f>
        <v/>
      </c>
      <c r="N182" s="22" t="n"/>
    </row>
    <row r="183">
      <c r="B183" s="21" t="n"/>
      <c r="C183" s="22" t="n"/>
      <c r="D183" s="22" t="n"/>
      <c r="E183" s="22" t="n"/>
      <c r="F183" s="22" t="n"/>
      <c r="G183" s="22" t="n"/>
      <c r="H183" s="23" t="n"/>
      <c r="I183" s="22" t="n"/>
      <c r="J183" s="24">
        <f>IF($I183="","",IFERROR(VLOOKUP($I183,Settings!$G$10:$H$15,2,FALSE),""))</f>
        <v/>
      </c>
      <c r="K183" s="18">
        <f>IF(OR($H183="",$J183=""),"",$H183*$J183)</f>
        <v/>
      </c>
      <c r="L183" s="21" t="n"/>
      <c r="M183" s="25">
        <f>IF(OR($I183="",$L183=""),"",IF(AND($L183&lt;=TODAY(),$I183&lt;&gt;Settings!$G$14,$I183&lt;&gt;Settings!$G$15),"CALL TODAY",""))</f>
        <v/>
      </c>
      <c r="N183" s="22" t="n"/>
    </row>
    <row r="184">
      <c r="B184" s="21" t="n"/>
      <c r="C184" s="22" t="n"/>
      <c r="D184" s="22" t="n"/>
      <c r="E184" s="22" t="n"/>
      <c r="F184" s="22" t="n"/>
      <c r="G184" s="22" t="n"/>
      <c r="H184" s="23" t="n"/>
      <c r="I184" s="22" t="n"/>
      <c r="J184" s="24">
        <f>IF($I184="","",IFERROR(VLOOKUP($I184,Settings!$G$10:$H$15,2,FALSE),""))</f>
        <v/>
      </c>
      <c r="K184" s="18">
        <f>IF(OR($H184="",$J184=""),"",$H184*$J184)</f>
        <v/>
      </c>
      <c r="L184" s="21" t="n"/>
      <c r="M184" s="25">
        <f>IF(OR($I184="",$L184=""),"",IF(AND($L184&lt;=TODAY(),$I184&lt;&gt;Settings!$G$14,$I184&lt;&gt;Settings!$G$15),"CALL TODAY",""))</f>
        <v/>
      </c>
      <c r="N184" s="22" t="n"/>
    </row>
    <row r="185">
      <c r="B185" s="21" t="n"/>
      <c r="C185" s="22" t="n"/>
      <c r="D185" s="22" t="n"/>
      <c r="E185" s="22" t="n"/>
      <c r="F185" s="22" t="n"/>
      <c r="G185" s="22" t="n"/>
      <c r="H185" s="23" t="n"/>
      <c r="I185" s="22" t="n"/>
      <c r="J185" s="24">
        <f>IF($I185="","",IFERROR(VLOOKUP($I185,Settings!$G$10:$H$15,2,FALSE),""))</f>
        <v/>
      </c>
      <c r="K185" s="18">
        <f>IF(OR($H185="",$J185=""),"",$H185*$J185)</f>
        <v/>
      </c>
      <c r="L185" s="21" t="n"/>
      <c r="M185" s="25">
        <f>IF(OR($I185="",$L185=""),"",IF(AND($L185&lt;=TODAY(),$I185&lt;&gt;Settings!$G$14,$I185&lt;&gt;Settings!$G$15),"CALL TODAY",""))</f>
        <v/>
      </c>
      <c r="N185" s="22" t="n"/>
    </row>
    <row r="186">
      <c r="B186" s="21" t="n"/>
      <c r="C186" s="22" t="n"/>
      <c r="D186" s="22" t="n"/>
      <c r="E186" s="22" t="n"/>
      <c r="F186" s="22" t="n"/>
      <c r="G186" s="22" t="n"/>
      <c r="H186" s="23" t="n"/>
      <c r="I186" s="22" t="n"/>
      <c r="J186" s="24">
        <f>IF($I186="","",IFERROR(VLOOKUP($I186,Settings!$G$10:$H$15,2,FALSE),""))</f>
        <v/>
      </c>
      <c r="K186" s="18">
        <f>IF(OR($H186="",$J186=""),"",$H186*$J186)</f>
        <v/>
      </c>
      <c r="L186" s="21" t="n"/>
      <c r="M186" s="25">
        <f>IF(OR($I186="",$L186=""),"",IF(AND($L186&lt;=TODAY(),$I186&lt;&gt;Settings!$G$14,$I186&lt;&gt;Settings!$G$15),"CALL TODAY",""))</f>
        <v/>
      </c>
      <c r="N186" s="22" t="n"/>
    </row>
    <row r="187">
      <c r="B187" s="21" t="n"/>
      <c r="C187" s="22" t="n"/>
      <c r="D187" s="22" t="n"/>
      <c r="E187" s="22" t="n"/>
      <c r="F187" s="22" t="n"/>
      <c r="G187" s="22" t="n"/>
      <c r="H187" s="23" t="n"/>
      <c r="I187" s="22" t="n"/>
      <c r="J187" s="24">
        <f>IF($I187="","",IFERROR(VLOOKUP($I187,Settings!$G$10:$H$15,2,FALSE),""))</f>
        <v/>
      </c>
      <c r="K187" s="18">
        <f>IF(OR($H187="",$J187=""),"",$H187*$J187)</f>
        <v/>
      </c>
      <c r="L187" s="21" t="n"/>
      <c r="M187" s="25">
        <f>IF(OR($I187="",$L187=""),"",IF(AND($L187&lt;=TODAY(),$I187&lt;&gt;Settings!$G$14,$I187&lt;&gt;Settings!$G$15),"CALL TODAY",""))</f>
        <v/>
      </c>
      <c r="N187" s="22" t="n"/>
    </row>
    <row r="188">
      <c r="B188" s="21" t="n"/>
      <c r="C188" s="22" t="n"/>
      <c r="D188" s="22" t="n"/>
      <c r="E188" s="22" t="n"/>
      <c r="F188" s="22" t="n"/>
      <c r="G188" s="22" t="n"/>
      <c r="H188" s="23" t="n"/>
      <c r="I188" s="22" t="n"/>
      <c r="J188" s="24">
        <f>IF($I188="","",IFERROR(VLOOKUP($I188,Settings!$G$10:$H$15,2,FALSE),""))</f>
        <v/>
      </c>
      <c r="K188" s="18">
        <f>IF(OR($H188="",$J188=""),"",$H188*$J188)</f>
        <v/>
      </c>
      <c r="L188" s="21" t="n"/>
      <c r="M188" s="25">
        <f>IF(OR($I188="",$L188=""),"",IF(AND($L188&lt;=TODAY(),$I188&lt;&gt;Settings!$G$14,$I188&lt;&gt;Settings!$G$15),"CALL TODAY",""))</f>
        <v/>
      </c>
      <c r="N188" s="22" t="n"/>
    </row>
    <row r="189">
      <c r="B189" s="21" t="n"/>
      <c r="C189" s="22" t="n"/>
      <c r="D189" s="22" t="n"/>
      <c r="E189" s="22" t="n"/>
      <c r="F189" s="22" t="n"/>
      <c r="G189" s="22" t="n"/>
      <c r="H189" s="23" t="n"/>
      <c r="I189" s="22" t="n"/>
      <c r="J189" s="24">
        <f>IF($I189="","",IFERROR(VLOOKUP($I189,Settings!$G$10:$H$15,2,FALSE),""))</f>
        <v/>
      </c>
      <c r="K189" s="18">
        <f>IF(OR($H189="",$J189=""),"",$H189*$J189)</f>
        <v/>
      </c>
      <c r="L189" s="21" t="n"/>
      <c r="M189" s="25">
        <f>IF(OR($I189="",$L189=""),"",IF(AND($L189&lt;=TODAY(),$I189&lt;&gt;Settings!$G$14,$I189&lt;&gt;Settings!$G$15),"CALL TODAY",""))</f>
        <v/>
      </c>
      <c r="N189" s="22" t="n"/>
    </row>
    <row r="190">
      <c r="B190" s="21" t="n"/>
      <c r="C190" s="22" t="n"/>
      <c r="D190" s="22" t="n"/>
      <c r="E190" s="22" t="n"/>
      <c r="F190" s="22" t="n"/>
      <c r="G190" s="22" t="n"/>
      <c r="H190" s="23" t="n"/>
      <c r="I190" s="22" t="n"/>
      <c r="J190" s="24">
        <f>IF($I190="","",IFERROR(VLOOKUP($I190,Settings!$G$10:$H$15,2,FALSE),""))</f>
        <v/>
      </c>
      <c r="K190" s="18">
        <f>IF(OR($H190="",$J190=""),"",$H190*$J190)</f>
        <v/>
      </c>
      <c r="L190" s="21" t="n"/>
      <c r="M190" s="25">
        <f>IF(OR($I190="",$L190=""),"",IF(AND($L190&lt;=TODAY(),$I190&lt;&gt;Settings!$G$14,$I190&lt;&gt;Settings!$G$15),"CALL TODAY",""))</f>
        <v/>
      </c>
      <c r="N190" s="22" t="n"/>
    </row>
    <row r="191">
      <c r="B191" s="21" t="n"/>
      <c r="C191" s="22" t="n"/>
      <c r="D191" s="22" t="n"/>
      <c r="E191" s="22" t="n"/>
      <c r="F191" s="22" t="n"/>
      <c r="G191" s="22" t="n"/>
      <c r="H191" s="23" t="n"/>
      <c r="I191" s="22" t="n"/>
      <c r="J191" s="24">
        <f>IF($I191="","",IFERROR(VLOOKUP($I191,Settings!$G$10:$H$15,2,FALSE),""))</f>
        <v/>
      </c>
      <c r="K191" s="18">
        <f>IF(OR($H191="",$J191=""),"",$H191*$J191)</f>
        <v/>
      </c>
      <c r="L191" s="21" t="n"/>
      <c r="M191" s="25">
        <f>IF(OR($I191="",$L191=""),"",IF(AND($L191&lt;=TODAY(),$I191&lt;&gt;Settings!$G$14,$I191&lt;&gt;Settings!$G$15),"CALL TODAY",""))</f>
        <v/>
      </c>
      <c r="N191" s="22" t="n"/>
    </row>
    <row r="192">
      <c r="B192" s="21" t="n"/>
      <c r="C192" s="22" t="n"/>
      <c r="D192" s="22" t="n"/>
      <c r="E192" s="22" t="n"/>
      <c r="F192" s="22" t="n"/>
      <c r="G192" s="22" t="n"/>
      <c r="H192" s="23" t="n"/>
      <c r="I192" s="22" t="n"/>
      <c r="J192" s="24">
        <f>IF($I192="","",IFERROR(VLOOKUP($I192,Settings!$G$10:$H$15,2,FALSE),""))</f>
        <v/>
      </c>
      <c r="K192" s="18">
        <f>IF(OR($H192="",$J192=""),"",$H192*$J192)</f>
        <v/>
      </c>
      <c r="L192" s="21" t="n"/>
      <c r="M192" s="25">
        <f>IF(OR($I192="",$L192=""),"",IF(AND($L192&lt;=TODAY(),$I192&lt;&gt;Settings!$G$14,$I192&lt;&gt;Settings!$G$15),"CALL TODAY",""))</f>
        <v/>
      </c>
      <c r="N192" s="22" t="n"/>
    </row>
    <row r="193">
      <c r="B193" s="21" t="n"/>
      <c r="C193" s="22" t="n"/>
      <c r="D193" s="22" t="n"/>
      <c r="E193" s="22" t="n"/>
      <c r="F193" s="22" t="n"/>
      <c r="G193" s="22" t="n"/>
      <c r="H193" s="23" t="n"/>
      <c r="I193" s="22" t="n"/>
      <c r="J193" s="24">
        <f>IF($I193="","",IFERROR(VLOOKUP($I193,Settings!$G$10:$H$15,2,FALSE),""))</f>
        <v/>
      </c>
      <c r="K193" s="18">
        <f>IF(OR($H193="",$J193=""),"",$H193*$J193)</f>
        <v/>
      </c>
      <c r="L193" s="21" t="n"/>
      <c r="M193" s="25">
        <f>IF(OR($I193="",$L193=""),"",IF(AND($L193&lt;=TODAY(),$I193&lt;&gt;Settings!$G$14,$I193&lt;&gt;Settings!$G$15),"CALL TODAY",""))</f>
        <v/>
      </c>
      <c r="N193" s="22" t="n"/>
    </row>
    <row r="194">
      <c r="B194" s="21" t="n"/>
      <c r="C194" s="22" t="n"/>
      <c r="D194" s="22" t="n"/>
      <c r="E194" s="22" t="n"/>
      <c r="F194" s="22" t="n"/>
      <c r="G194" s="22" t="n"/>
      <c r="H194" s="23" t="n"/>
      <c r="I194" s="22" t="n"/>
      <c r="J194" s="24">
        <f>IF($I194="","",IFERROR(VLOOKUP($I194,Settings!$G$10:$H$15,2,FALSE),""))</f>
        <v/>
      </c>
      <c r="K194" s="18">
        <f>IF(OR($H194="",$J194=""),"",$H194*$J194)</f>
        <v/>
      </c>
      <c r="L194" s="21" t="n"/>
      <c r="M194" s="25">
        <f>IF(OR($I194="",$L194=""),"",IF(AND($L194&lt;=TODAY(),$I194&lt;&gt;Settings!$G$14,$I194&lt;&gt;Settings!$G$15),"CALL TODAY",""))</f>
        <v/>
      </c>
      <c r="N194" s="22" t="n"/>
    </row>
    <row r="195">
      <c r="B195" s="21" t="n"/>
      <c r="C195" s="22" t="n"/>
      <c r="D195" s="22" t="n"/>
      <c r="E195" s="22" t="n"/>
      <c r="F195" s="22" t="n"/>
      <c r="G195" s="22" t="n"/>
      <c r="H195" s="23" t="n"/>
      <c r="I195" s="22" t="n"/>
      <c r="J195" s="24">
        <f>IF($I195="","",IFERROR(VLOOKUP($I195,Settings!$G$10:$H$15,2,FALSE),""))</f>
        <v/>
      </c>
      <c r="K195" s="18">
        <f>IF(OR($H195="",$J195=""),"",$H195*$J195)</f>
        <v/>
      </c>
      <c r="L195" s="21" t="n"/>
      <c r="M195" s="25">
        <f>IF(OR($I195="",$L195=""),"",IF(AND($L195&lt;=TODAY(),$I195&lt;&gt;Settings!$G$14,$I195&lt;&gt;Settings!$G$15),"CALL TODAY",""))</f>
        <v/>
      </c>
      <c r="N195" s="22" t="n"/>
    </row>
    <row r="196">
      <c r="B196" s="21" t="n"/>
      <c r="C196" s="22" t="n"/>
      <c r="D196" s="22" t="n"/>
      <c r="E196" s="22" t="n"/>
      <c r="F196" s="22" t="n"/>
      <c r="G196" s="22" t="n"/>
      <c r="H196" s="23" t="n"/>
      <c r="I196" s="22" t="n"/>
      <c r="J196" s="24">
        <f>IF($I196="","",IFERROR(VLOOKUP($I196,Settings!$G$10:$H$15,2,FALSE),""))</f>
        <v/>
      </c>
      <c r="K196" s="18">
        <f>IF(OR($H196="",$J196=""),"",$H196*$J196)</f>
        <v/>
      </c>
      <c r="L196" s="21" t="n"/>
      <c r="M196" s="25">
        <f>IF(OR($I196="",$L196=""),"",IF(AND($L196&lt;=TODAY(),$I196&lt;&gt;Settings!$G$14,$I196&lt;&gt;Settings!$G$15),"CALL TODAY",""))</f>
        <v/>
      </c>
      <c r="N196" s="22" t="n"/>
    </row>
    <row r="197">
      <c r="B197" s="21" t="n"/>
      <c r="C197" s="22" t="n"/>
      <c r="D197" s="22" t="n"/>
      <c r="E197" s="22" t="n"/>
      <c r="F197" s="22" t="n"/>
      <c r="G197" s="22" t="n"/>
      <c r="H197" s="23" t="n"/>
      <c r="I197" s="22" t="n"/>
      <c r="J197" s="24">
        <f>IF($I197="","",IFERROR(VLOOKUP($I197,Settings!$G$10:$H$15,2,FALSE),""))</f>
        <v/>
      </c>
      <c r="K197" s="18">
        <f>IF(OR($H197="",$J197=""),"",$H197*$J197)</f>
        <v/>
      </c>
      <c r="L197" s="21" t="n"/>
      <c r="M197" s="25">
        <f>IF(OR($I197="",$L197=""),"",IF(AND($L197&lt;=TODAY(),$I197&lt;&gt;Settings!$G$14,$I197&lt;&gt;Settings!$G$15),"CALL TODAY",""))</f>
        <v/>
      </c>
      <c r="N197" s="22" t="n"/>
    </row>
    <row r="198">
      <c r="B198" s="21" t="n"/>
      <c r="C198" s="22" t="n"/>
      <c r="D198" s="22" t="n"/>
      <c r="E198" s="22" t="n"/>
      <c r="F198" s="22" t="n"/>
      <c r="G198" s="22" t="n"/>
      <c r="H198" s="23" t="n"/>
      <c r="I198" s="22" t="n"/>
      <c r="J198" s="24">
        <f>IF($I198="","",IFERROR(VLOOKUP($I198,Settings!$G$10:$H$15,2,FALSE),""))</f>
        <v/>
      </c>
      <c r="K198" s="18">
        <f>IF(OR($H198="",$J198=""),"",$H198*$J198)</f>
        <v/>
      </c>
      <c r="L198" s="21" t="n"/>
      <c r="M198" s="25">
        <f>IF(OR($I198="",$L198=""),"",IF(AND($L198&lt;=TODAY(),$I198&lt;&gt;Settings!$G$14,$I198&lt;&gt;Settings!$G$15),"CALL TODAY",""))</f>
        <v/>
      </c>
      <c r="N198" s="22" t="n"/>
    </row>
    <row r="199">
      <c r="B199" s="21" t="n"/>
      <c r="C199" s="22" t="n"/>
      <c r="D199" s="22" t="n"/>
      <c r="E199" s="22" t="n"/>
      <c r="F199" s="22" t="n"/>
      <c r="G199" s="22" t="n"/>
      <c r="H199" s="23" t="n"/>
      <c r="I199" s="22" t="n"/>
      <c r="J199" s="24">
        <f>IF($I199="","",IFERROR(VLOOKUP($I199,Settings!$G$10:$H$15,2,FALSE),""))</f>
        <v/>
      </c>
      <c r="K199" s="18">
        <f>IF(OR($H199="",$J199=""),"",$H199*$J199)</f>
        <v/>
      </c>
      <c r="L199" s="21" t="n"/>
      <c r="M199" s="25">
        <f>IF(OR($I199="",$L199=""),"",IF(AND($L199&lt;=TODAY(),$I199&lt;&gt;Settings!$G$14,$I199&lt;&gt;Settings!$G$15),"CALL TODAY",""))</f>
        <v/>
      </c>
      <c r="N199" s="22" t="n"/>
    </row>
    <row r="200">
      <c r="B200" s="21" t="n"/>
      <c r="C200" s="22" t="n"/>
      <c r="D200" s="22" t="n"/>
      <c r="E200" s="22" t="n"/>
      <c r="F200" s="22" t="n"/>
      <c r="G200" s="22" t="n"/>
      <c r="H200" s="23" t="n"/>
      <c r="I200" s="22" t="n"/>
      <c r="J200" s="24">
        <f>IF($I200="","",IFERROR(VLOOKUP($I200,Settings!$G$10:$H$15,2,FALSE),""))</f>
        <v/>
      </c>
      <c r="K200" s="18">
        <f>IF(OR($H200="",$J200=""),"",$H200*$J200)</f>
        <v/>
      </c>
      <c r="L200" s="21" t="n"/>
      <c r="M200" s="25">
        <f>IF(OR($I200="",$L200=""),"",IF(AND($L200&lt;=TODAY(),$I200&lt;&gt;Settings!$G$14,$I200&lt;&gt;Settings!$G$15),"CALL TODAY",""))</f>
        <v/>
      </c>
      <c r="N200" s="22" t="n"/>
    </row>
    <row r="201">
      <c r="B201" s="21" t="n"/>
      <c r="C201" s="22" t="n"/>
      <c r="D201" s="22" t="n"/>
      <c r="E201" s="22" t="n"/>
      <c r="F201" s="22" t="n"/>
      <c r="G201" s="22" t="n"/>
      <c r="H201" s="23" t="n"/>
      <c r="I201" s="22" t="n"/>
      <c r="J201" s="24">
        <f>IF($I201="","",IFERROR(VLOOKUP($I201,Settings!$G$10:$H$15,2,FALSE),""))</f>
        <v/>
      </c>
      <c r="K201" s="18">
        <f>IF(OR($H201="",$J201=""),"",$H201*$J201)</f>
        <v/>
      </c>
      <c r="L201" s="21" t="n"/>
      <c r="M201" s="25">
        <f>IF(OR($I201="",$L201=""),"",IF(AND($L201&lt;=TODAY(),$I201&lt;&gt;Settings!$G$14,$I201&lt;&gt;Settings!$G$15),"CALL TODAY",""))</f>
        <v/>
      </c>
      <c r="N201" s="22" t="n"/>
    </row>
    <row r="202">
      <c r="B202" s="21" t="n"/>
      <c r="C202" s="22" t="n"/>
      <c r="D202" s="22" t="n"/>
      <c r="E202" s="22" t="n"/>
      <c r="F202" s="22" t="n"/>
      <c r="G202" s="22" t="n"/>
      <c r="H202" s="23" t="n"/>
      <c r="I202" s="22" t="n"/>
      <c r="J202" s="24">
        <f>IF($I202="","",IFERROR(VLOOKUP($I202,Settings!$G$10:$H$15,2,FALSE),""))</f>
        <v/>
      </c>
      <c r="K202" s="18">
        <f>IF(OR($H202="",$J202=""),"",$H202*$J202)</f>
        <v/>
      </c>
      <c r="L202" s="21" t="n"/>
      <c r="M202" s="25">
        <f>IF(OR($I202="",$L202=""),"",IF(AND($L202&lt;=TODAY(),$I202&lt;&gt;Settings!$G$14,$I202&lt;&gt;Settings!$G$15),"CALL TODAY",""))</f>
        <v/>
      </c>
      <c r="N202" s="22" t="n"/>
    </row>
    <row r="203">
      <c r="B203" s="21" t="n"/>
      <c r="C203" s="22" t="n"/>
      <c r="D203" s="22" t="n"/>
      <c r="E203" s="22" t="n"/>
      <c r="F203" s="22" t="n"/>
      <c r="G203" s="22" t="n"/>
      <c r="H203" s="23" t="n"/>
      <c r="I203" s="22" t="n"/>
      <c r="J203" s="24">
        <f>IF($I203="","",IFERROR(VLOOKUP($I203,Settings!$G$10:$H$15,2,FALSE),""))</f>
        <v/>
      </c>
      <c r="K203" s="18">
        <f>IF(OR($H203="",$J203=""),"",$H203*$J203)</f>
        <v/>
      </c>
      <c r="L203" s="21" t="n"/>
      <c r="M203" s="25">
        <f>IF(OR($I203="",$L203=""),"",IF(AND($L203&lt;=TODAY(),$I203&lt;&gt;Settings!$G$14,$I203&lt;&gt;Settings!$G$15),"CALL TODAY",""))</f>
        <v/>
      </c>
      <c r="N203" s="22" t="n"/>
    </row>
    <row r="204">
      <c r="B204" s="21" t="n"/>
      <c r="C204" s="22" t="n"/>
      <c r="D204" s="22" t="n"/>
      <c r="E204" s="22" t="n"/>
      <c r="F204" s="22" t="n"/>
      <c r="G204" s="22" t="n"/>
      <c r="H204" s="23" t="n"/>
      <c r="I204" s="22" t="n"/>
      <c r="J204" s="24">
        <f>IF($I204="","",IFERROR(VLOOKUP($I204,Settings!$G$10:$H$15,2,FALSE),""))</f>
        <v/>
      </c>
      <c r="K204" s="18">
        <f>IF(OR($H204="",$J204=""),"",$H204*$J204)</f>
        <v/>
      </c>
      <c r="L204" s="21" t="n"/>
      <c r="M204" s="25">
        <f>IF(OR($I204="",$L204=""),"",IF(AND($L204&lt;=TODAY(),$I204&lt;&gt;Settings!$G$14,$I204&lt;&gt;Settings!$G$15),"CALL TODAY",""))</f>
        <v/>
      </c>
      <c r="N204" s="22" t="n"/>
    </row>
    <row r="205">
      <c r="B205" s="21" t="n"/>
      <c r="C205" s="22" t="n"/>
      <c r="D205" s="22" t="n"/>
      <c r="E205" s="22" t="n"/>
      <c r="F205" s="22" t="n"/>
      <c r="G205" s="22" t="n"/>
      <c r="H205" s="23" t="n"/>
      <c r="I205" s="22" t="n"/>
      <c r="J205" s="24">
        <f>IF($I205="","",IFERROR(VLOOKUP($I205,Settings!$G$10:$H$15,2,FALSE),""))</f>
        <v/>
      </c>
      <c r="K205" s="18">
        <f>IF(OR($H205="",$J205=""),"",$H205*$J205)</f>
        <v/>
      </c>
      <c r="L205" s="21" t="n"/>
      <c r="M205" s="25">
        <f>IF(OR($I205="",$L205=""),"",IF(AND($L205&lt;=TODAY(),$I205&lt;&gt;Settings!$G$14,$I205&lt;&gt;Settings!$G$15),"CALL TODAY",""))</f>
        <v/>
      </c>
      <c r="N205" s="22" t="n"/>
    </row>
    <row r="206">
      <c r="B206" s="21" t="n"/>
      <c r="C206" s="22" t="n"/>
      <c r="D206" s="22" t="n"/>
      <c r="E206" s="22" t="n"/>
      <c r="F206" s="22" t="n"/>
      <c r="G206" s="22" t="n"/>
      <c r="H206" s="23" t="n"/>
      <c r="I206" s="22" t="n"/>
      <c r="J206" s="24">
        <f>IF($I206="","",IFERROR(VLOOKUP($I206,Settings!$G$10:$H$15,2,FALSE),""))</f>
        <v/>
      </c>
      <c r="K206" s="18">
        <f>IF(OR($H206="",$J206=""),"",$H206*$J206)</f>
        <v/>
      </c>
      <c r="L206" s="21" t="n"/>
      <c r="M206" s="25">
        <f>IF(OR($I206="",$L206=""),"",IF(AND($L206&lt;=TODAY(),$I206&lt;&gt;Settings!$G$14,$I206&lt;&gt;Settings!$G$15),"CALL TODAY",""))</f>
        <v/>
      </c>
      <c r="N206" s="22" t="n"/>
    </row>
    <row r="207">
      <c r="B207" s="21" t="n"/>
      <c r="C207" s="22" t="n"/>
      <c r="D207" s="22" t="n"/>
      <c r="E207" s="22" t="n"/>
      <c r="F207" s="22" t="n"/>
      <c r="G207" s="22" t="n"/>
      <c r="H207" s="23" t="n"/>
      <c r="I207" s="22" t="n"/>
      <c r="J207" s="24">
        <f>IF($I207="","",IFERROR(VLOOKUP($I207,Settings!$G$10:$H$15,2,FALSE),""))</f>
        <v/>
      </c>
      <c r="K207" s="18">
        <f>IF(OR($H207="",$J207=""),"",$H207*$J207)</f>
        <v/>
      </c>
      <c r="L207" s="21" t="n"/>
      <c r="M207" s="25">
        <f>IF(OR($I207="",$L207=""),"",IF(AND($L207&lt;=TODAY(),$I207&lt;&gt;Settings!$G$14,$I207&lt;&gt;Settings!$G$15),"CALL TODAY",""))</f>
        <v/>
      </c>
      <c r="N207" s="22" t="n"/>
    </row>
    <row r="208">
      <c r="B208" s="21" t="n"/>
      <c r="C208" s="22" t="n"/>
      <c r="D208" s="22" t="n"/>
      <c r="E208" s="22" t="n"/>
      <c r="F208" s="22" t="n"/>
      <c r="G208" s="22" t="n"/>
      <c r="H208" s="23" t="n"/>
      <c r="I208" s="22" t="n"/>
      <c r="J208" s="24">
        <f>IF($I208="","",IFERROR(VLOOKUP($I208,Settings!$G$10:$H$15,2,FALSE),""))</f>
        <v/>
      </c>
      <c r="K208" s="18">
        <f>IF(OR($H208="",$J208=""),"",$H208*$J208)</f>
        <v/>
      </c>
      <c r="L208" s="21" t="n"/>
      <c r="M208" s="25">
        <f>IF(OR($I208="",$L208=""),"",IF(AND($L208&lt;=TODAY(),$I208&lt;&gt;Settings!$G$14,$I208&lt;&gt;Settings!$G$15),"CALL TODAY",""))</f>
        <v/>
      </c>
      <c r="N208" s="22" t="n"/>
    </row>
    <row r="209">
      <c r="B209" s="21" t="n"/>
      <c r="C209" s="22" t="n"/>
      <c r="D209" s="22" t="n"/>
      <c r="E209" s="22" t="n"/>
      <c r="F209" s="22" t="n"/>
      <c r="G209" s="22" t="n"/>
      <c r="H209" s="23" t="n"/>
      <c r="I209" s="22" t="n"/>
      <c r="J209" s="24">
        <f>IF($I209="","",IFERROR(VLOOKUP($I209,Settings!$G$10:$H$15,2,FALSE),""))</f>
        <v/>
      </c>
      <c r="K209" s="18">
        <f>IF(OR($H209="",$J209=""),"",$H209*$J209)</f>
        <v/>
      </c>
      <c r="L209" s="21" t="n"/>
      <c r="M209" s="25">
        <f>IF(OR($I209="",$L209=""),"",IF(AND($L209&lt;=TODAY(),$I209&lt;&gt;Settings!$G$14,$I209&lt;&gt;Settings!$G$15),"CALL TODAY",""))</f>
        <v/>
      </c>
      <c r="N209" s="22" t="n"/>
    </row>
    <row r="210">
      <c r="B210" s="21" t="n"/>
      <c r="C210" s="22" t="n"/>
      <c r="D210" s="22" t="n"/>
      <c r="E210" s="22" t="n"/>
      <c r="F210" s="22" t="n"/>
      <c r="G210" s="22" t="n"/>
      <c r="H210" s="23" t="n"/>
      <c r="I210" s="22" t="n"/>
      <c r="J210" s="24">
        <f>IF($I210="","",IFERROR(VLOOKUP($I210,Settings!$G$10:$H$15,2,FALSE),""))</f>
        <v/>
      </c>
      <c r="K210" s="18">
        <f>IF(OR($H210="",$J210=""),"",$H210*$J210)</f>
        <v/>
      </c>
      <c r="L210" s="21" t="n"/>
      <c r="M210" s="25">
        <f>IF(OR($I210="",$L210=""),"",IF(AND($L210&lt;=TODAY(),$I210&lt;&gt;Settings!$G$14,$I210&lt;&gt;Settings!$G$15),"CALL TODAY",""))</f>
        <v/>
      </c>
      <c r="N210" s="22" t="n"/>
    </row>
    <row r="211">
      <c r="B211" s="21" t="n"/>
      <c r="C211" s="22" t="n"/>
      <c r="D211" s="22" t="n"/>
      <c r="E211" s="22" t="n"/>
      <c r="F211" s="22" t="n"/>
      <c r="G211" s="22" t="n"/>
      <c r="H211" s="23" t="n"/>
      <c r="I211" s="22" t="n"/>
      <c r="J211" s="24">
        <f>IF($I211="","",IFERROR(VLOOKUP($I211,Settings!$G$10:$H$15,2,FALSE),""))</f>
        <v/>
      </c>
      <c r="K211" s="18">
        <f>IF(OR($H211="",$J211=""),"",$H211*$J211)</f>
        <v/>
      </c>
      <c r="L211" s="21" t="n"/>
      <c r="M211" s="25">
        <f>IF(OR($I211="",$L211=""),"",IF(AND($L211&lt;=TODAY(),$I211&lt;&gt;Settings!$G$14,$I211&lt;&gt;Settings!$G$15),"CALL TODAY",""))</f>
        <v/>
      </c>
      <c r="N211" s="22" t="n"/>
    </row>
    <row r="212">
      <c r="B212" s="21" t="n"/>
      <c r="C212" s="22" t="n"/>
      <c r="D212" s="22" t="n"/>
      <c r="E212" s="22" t="n"/>
      <c r="F212" s="22" t="n"/>
      <c r="G212" s="22" t="n"/>
      <c r="H212" s="23" t="n"/>
      <c r="I212" s="22" t="n"/>
      <c r="J212" s="24">
        <f>IF($I212="","",IFERROR(VLOOKUP($I212,Settings!$G$10:$H$15,2,FALSE),""))</f>
        <v/>
      </c>
      <c r="K212" s="18">
        <f>IF(OR($H212="",$J212=""),"",$H212*$J212)</f>
        <v/>
      </c>
      <c r="L212" s="21" t="n"/>
      <c r="M212" s="25">
        <f>IF(OR($I212="",$L212=""),"",IF(AND($L212&lt;=TODAY(),$I212&lt;&gt;Settings!$G$14,$I212&lt;&gt;Settings!$G$15),"CALL TODAY",""))</f>
        <v/>
      </c>
      <c r="N212" s="22" t="n"/>
    </row>
    <row r="213">
      <c r="B213" s="21" t="n"/>
      <c r="C213" s="22" t="n"/>
      <c r="D213" s="22" t="n"/>
      <c r="E213" s="22" t="n"/>
      <c r="F213" s="22" t="n"/>
      <c r="G213" s="22" t="n"/>
      <c r="H213" s="23" t="n"/>
      <c r="I213" s="22" t="n"/>
      <c r="J213" s="24">
        <f>IF($I213="","",IFERROR(VLOOKUP($I213,Settings!$G$10:$H$15,2,FALSE),""))</f>
        <v/>
      </c>
      <c r="K213" s="18">
        <f>IF(OR($H213="",$J213=""),"",$H213*$J213)</f>
        <v/>
      </c>
      <c r="L213" s="21" t="n"/>
      <c r="M213" s="25">
        <f>IF(OR($I213="",$L213=""),"",IF(AND($L213&lt;=TODAY(),$I213&lt;&gt;Settings!$G$14,$I213&lt;&gt;Settings!$G$15),"CALL TODAY",""))</f>
        <v/>
      </c>
      <c r="N213" s="22" t="n"/>
    </row>
    <row r="214">
      <c r="B214" s="21" t="n"/>
      <c r="C214" s="22" t="n"/>
      <c r="D214" s="22" t="n"/>
      <c r="E214" s="22" t="n"/>
      <c r="F214" s="22" t="n"/>
      <c r="G214" s="22" t="n"/>
      <c r="H214" s="23" t="n"/>
      <c r="I214" s="22" t="n"/>
      <c r="J214" s="24">
        <f>IF($I214="","",IFERROR(VLOOKUP($I214,Settings!$G$10:$H$15,2,FALSE),""))</f>
        <v/>
      </c>
      <c r="K214" s="18">
        <f>IF(OR($H214="",$J214=""),"",$H214*$J214)</f>
        <v/>
      </c>
      <c r="L214" s="21" t="n"/>
      <c r="M214" s="25">
        <f>IF(OR($I214="",$L214=""),"",IF(AND($L214&lt;=TODAY(),$I214&lt;&gt;Settings!$G$14,$I214&lt;&gt;Settings!$G$15),"CALL TODAY",""))</f>
        <v/>
      </c>
      <c r="N214" s="22" t="n"/>
    </row>
    <row r="215">
      <c r="B215" s="21" t="n"/>
      <c r="C215" s="22" t="n"/>
      <c r="D215" s="22" t="n"/>
      <c r="E215" s="22" t="n"/>
      <c r="F215" s="22" t="n"/>
      <c r="G215" s="22" t="n"/>
      <c r="H215" s="23" t="n"/>
      <c r="I215" s="22" t="n"/>
      <c r="J215" s="24">
        <f>IF($I215="","",IFERROR(VLOOKUP($I215,Settings!$G$10:$H$15,2,FALSE),""))</f>
        <v/>
      </c>
      <c r="K215" s="18">
        <f>IF(OR($H215="",$J215=""),"",$H215*$J215)</f>
        <v/>
      </c>
      <c r="L215" s="21" t="n"/>
      <c r="M215" s="25">
        <f>IF(OR($I215="",$L215=""),"",IF(AND($L215&lt;=TODAY(),$I215&lt;&gt;Settings!$G$14,$I215&lt;&gt;Settings!$G$15),"CALL TODAY",""))</f>
        <v/>
      </c>
      <c r="N215" s="22" t="n"/>
    </row>
    <row r="216">
      <c r="B216" s="21" t="n"/>
      <c r="C216" s="22" t="n"/>
      <c r="D216" s="22" t="n"/>
      <c r="E216" s="22" t="n"/>
      <c r="F216" s="22" t="n"/>
      <c r="G216" s="22" t="n"/>
      <c r="H216" s="23" t="n"/>
      <c r="I216" s="22" t="n"/>
      <c r="J216" s="24">
        <f>IF($I216="","",IFERROR(VLOOKUP($I216,Settings!$G$10:$H$15,2,FALSE),""))</f>
        <v/>
      </c>
      <c r="K216" s="18">
        <f>IF(OR($H216="",$J216=""),"",$H216*$J216)</f>
        <v/>
      </c>
      <c r="L216" s="21" t="n"/>
      <c r="M216" s="25">
        <f>IF(OR($I216="",$L216=""),"",IF(AND($L216&lt;=TODAY(),$I216&lt;&gt;Settings!$G$14,$I216&lt;&gt;Settings!$G$15),"CALL TODAY",""))</f>
        <v/>
      </c>
      <c r="N216" s="22" t="n"/>
    </row>
    <row r="217">
      <c r="B217" s="21" t="n"/>
      <c r="C217" s="22" t="n"/>
      <c r="D217" s="22" t="n"/>
      <c r="E217" s="22" t="n"/>
      <c r="F217" s="22" t="n"/>
      <c r="G217" s="22" t="n"/>
      <c r="H217" s="23" t="n"/>
      <c r="I217" s="22" t="n"/>
      <c r="J217" s="24">
        <f>IF($I217="","",IFERROR(VLOOKUP($I217,Settings!$G$10:$H$15,2,FALSE),""))</f>
        <v/>
      </c>
      <c r="K217" s="18">
        <f>IF(OR($H217="",$J217=""),"",$H217*$J217)</f>
        <v/>
      </c>
      <c r="L217" s="21" t="n"/>
      <c r="M217" s="25">
        <f>IF(OR($I217="",$L217=""),"",IF(AND($L217&lt;=TODAY(),$I217&lt;&gt;Settings!$G$14,$I217&lt;&gt;Settings!$G$15),"CALL TODAY",""))</f>
        <v/>
      </c>
      <c r="N217" s="22" t="n"/>
    </row>
    <row r="218">
      <c r="B218" s="21" t="n"/>
      <c r="C218" s="22" t="n"/>
      <c r="D218" s="22" t="n"/>
      <c r="E218" s="22" t="n"/>
      <c r="F218" s="22" t="n"/>
      <c r="G218" s="22" t="n"/>
      <c r="H218" s="23" t="n"/>
      <c r="I218" s="22" t="n"/>
      <c r="J218" s="24">
        <f>IF($I218="","",IFERROR(VLOOKUP($I218,Settings!$G$10:$H$15,2,FALSE),""))</f>
        <v/>
      </c>
      <c r="K218" s="18">
        <f>IF(OR($H218="",$J218=""),"",$H218*$J218)</f>
        <v/>
      </c>
      <c r="L218" s="21" t="n"/>
      <c r="M218" s="25">
        <f>IF(OR($I218="",$L218=""),"",IF(AND($L218&lt;=TODAY(),$I218&lt;&gt;Settings!$G$14,$I218&lt;&gt;Settings!$G$15),"CALL TODAY",""))</f>
        <v/>
      </c>
      <c r="N218" s="22" t="n"/>
    </row>
    <row r="219">
      <c r="B219" s="21" t="n"/>
      <c r="C219" s="22" t="n"/>
      <c r="D219" s="22" t="n"/>
      <c r="E219" s="22" t="n"/>
      <c r="F219" s="22" t="n"/>
      <c r="G219" s="22" t="n"/>
      <c r="H219" s="23" t="n"/>
      <c r="I219" s="22" t="n"/>
      <c r="J219" s="24">
        <f>IF($I219="","",IFERROR(VLOOKUP($I219,Settings!$G$10:$H$15,2,FALSE),""))</f>
        <v/>
      </c>
      <c r="K219" s="18">
        <f>IF(OR($H219="",$J219=""),"",$H219*$J219)</f>
        <v/>
      </c>
      <c r="L219" s="21" t="n"/>
      <c r="M219" s="25">
        <f>IF(OR($I219="",$L219=""),"",IF(AND($L219&lt;=TODAY(),$I219&lt;&gt;Settings!$G$14,$I219&lt;&gt;Settings!$G$15),"CALL TODAY",""))</f>
        <v/>
      </c>
      <c r="N219" s="22" t="n"/>
    </row>
    <row r="220">
      <c r="B220" s="21" t="n"/>
      <c r="C220" s="22" t="n"/>
      <c r="D220" s="22" t="n"/>
      <c r="E220" s="22" t="n"/>
      <c r="F220" s="22" t="n"/>
      <c r="G220" s="22" t="n"/>
      <c r="H220" s="23" t="n"/>
      <c r="I220" s="22" t="n"/>
      <c r="J220" s="24">
        <f>IF($I220="","",IFERROR(VLOOKUP($I220,Settings!$G$10:$H$15,2,FALSE),""))</f>
        <v/>
      </c>
      <c r="K220" s="18">
        <f>IF(OR($H220="",$J220=""),"",$H220*$J220)</f>
        <v/>
      </c>
      <c r="L220" s="21" t="n"/>
      <c r="M220" s="25">
        <f>IF(OR($I220="",$L220=""),"",IF(AND($L220&lt;=TODAY(),$I220&lt;&gt;Settings!$G$14,$I220&lt;&gt;Settings!$G$15),"CALL TODAY",""))</f>
        <v/>
      </c>
      <c r="N220" s="22" t="n"/>
    </row>
    <row r="221">
      <c r="B221" s="21" t="n"/>
      <c r="C221" s="22" t="n"/>
      <c r="D221" s="22" t="n"/>
      <c r="E221" s="22" t="n"/>
      <c r="F221" s="22" t="n"/>
      <c r="G221" s="22" t="n"/>
      <c r="H221" s="23" t="n"/>
      <c r="I221" s="22" t="n"/>
      <c r="J221" s="24">
        <f>IF($I221="","",IFERROR(VLOOKUP($I221,Settings!$G$10:$H$15,2,FALSE),""))</f>
        <v/>
      </c>
      <c r="K221" s="18">
        <f>IF(OR($H221="",$J221=""),"",$H221*$J221)</f>
        <v/>
      </c>
      <c r="L221" s="21" t="n"/>
      <c r="M221" s="25">
        <f>IF(OR($I221="",$L221=""),"",IF(AND($L221&lt;=TODAY(),$I221&lt;&gt;Settings!$G$14,$I221&lt;&gt;Settings!$G$15),"CALL TODAY",""))</f>
        <v/>
      </c>
      <c r="N221" s="22" t="n"/>
    </row>
    <row r="222">
      <c r="B222" s="21" t="n"/>
      <c r="C222" s="22" t="n"/>
      <c r="D222" s="22" t="n"/>
      <c r="E222" s="22" t="n"/>
      <c r="F222" s="22" t="n"/>
      <c r="G222" s="22" t="n"/>
      <c r="H222" s="23" t="n"/>
      <c r="I222" s="22" t="n"/>
      <c r="J222" s="24">
        <f>IF($I222="","",IFERROR(VLOOKUP($I222,Settings!$G$10:$H$15,2,FALSE),""))</f>
        <v/>
      </c>
      <c r="K222" s="18">
        <f>IF(OR($H222="",$J222=""),"",$H222*$J222)</f>
        <v/>
      </c>
      <c r="L222" s="21" t="n"/>
      <c r="M222" s="25">
        <f>IF(OR($I222="",$L222=""),"",IF(AND($L222&lt;=TODAY(),$I222&lt;&gt;Settings!$G$14,$I222&lt;&gt;Settings!$G$15),"CALL TODAY",""))</f>
        <v/>
      </c>
      <c r="N222" s="22" t="n"/>
    </row>
    <row r="223">
      <c r="B223" s="21" t="n"/>
      <c r="C223" s="22" t="n"/>
      <c r="D223" s="22" t="n"/>
      <c r="E223" s="22" t="n"/>
      <c r="F223" s="22" t="n"/>
      <c r="G223" s="22" t="n"/>
      <c r="H223" s="23" t="n"/>
      <c r="I223" s="22" t="n"/>
      <c r="J223" s="24">
        <f>IF($I223="","",IFERROR(VLOOKUP($I223,Settings!$G$10:$H$15,2,FALSE),""))</f>
        <v/>
      </c>
      <c r="K223" s="18">
        <f>IF(OR($H223="",$J223=""),"",$H223*$J223)</f>
        <v/>
      </c>
      <c r="L223" s="21" t="n"/>
      <c r="M223" s="25">
        <f>IF(OR($I223="",$L223=""),"",IF(AND($L223&lt;=TODAY(),$I223&lt;&gt;Settings!$G$14,$I223&lt;&gt;Settings!$G$15),"CALL TODAY",""))</f>
        <v/>
      </c>
      <c r="N223" s="22" t="n"/>
    </row>
    <row r="224">
      <c r="B224" s="21" t="n"/>
      <c r="C224" s="22" t="n"/>
      <c r="D224" s="22" t="n"/>
      <c r="E224" s="22" t="n"/>
      <c r="F224" s="22" t="n"/>
      <c r="G224" s="22" t="n"/>
      <c r="H224" s="23" t="n"/>
      <c r="I224" s="22" t="n"/>
      <c r="J224" s="24">
        <f>IF($I224="","",IFERROR(VLOOKUP($I224,Settings!$G$10:$H$15,2,FALSE),""))</f>
        <v/>
      </c>
      <c r="K224" s="18">
        <f>IF(OR($H224="",$J224=""),"",$H224*$J224)</f>
        <v/>
      </c>
      <c r="L224" s="21" t="n"/>
      <c r="M224" s="25">
        <f>IF(OR($I224="",$L224=""),"",IF(AND($L224&lt;=TODAY(),$I224&lt;&gt;Settings!$G$14,$I224&lt;&gt;Settings!$G$15),"CALL TODAY",""))</f>
        <v/>
      </c>
      <c r="N224" s="22" t="n"/>
    </row>
    <row r="225">
      <c r="B225" s="21" t="n"/>
      <c r="C225" s="22" t="n"/>
      <c r="D225" s="22" t="n"/>
      <c r="E225" s="22" t="n"/>
      <c r="F225" s="22" t="n"/>
      <c r="G225" s="22" t="n"/>
      <c r="H225" s="23" t="n"/>
      <c r="I225" s="22" t="n"/>
      <c r="J225" s="24">
        <f>IF($I225="","",IFERROR(VLOOKUP($I225,Settings!$G$10:$H$15,2,FALSE),""))</f>
        <v/>
      </c>
      <c r="K225" s="18">
        <f>IF(OR($H225="",$J225=""),"",$H225*$J225)</f>
        <v/>
      </c>
      <c r="L225" s="21" t="n"/>
      <c r="M225" s="25">
        <f>IF(OR($I225="",$L225=""),"",IF(AND($L225&lt;=TODAY(),$I225&lt;&gt;Settings!$G$14,$I225&lt;&gt;Settings!$G$15),"CALL TODAY",""))</f>
        <v/>
      </c>
      <c r="N225" s="22" t="n"/>
    </row>
    <row r="226">
      <c r="B226" s="21" t="n"/>
      <c r="C226" s="22" t="n"/>
      <c r="D226" s="22" t="n"/>
      <c r="E226" s="22" t="n"/>
      <c r="F226" s="22" t="n"/>
      <c r="G226" s="22" t="n"/>
      <c r="H226" s="23" t="n"/>
      <c r="I226" s="22" t="n"/>
      <c r="J226" s="24">
        <f>IF($I226="","",IFERROR(VLOOKUP($I226,Settings!$G$10:$H$15,2,FALSE),""))</f>
        <v/>
      </c>
      <c r="K226" s="18">
        <f>IF(OR($H226="",$J226=""),"",$H226*$J226)</f>
        <v/>
      </c>
      <c r="L226" s="21" t="n"/>
      <c r="M226" s="25">
        <f>IF(OR($I226="",$L226=""),"",IF(AND($L226&lt;=TODAY(),$I226&lt;&gt;Settings!$G$14,$I226&lt;&gt;Settings!$G$15),"CALL TODAY",""))</f>
        <v/>
      </c>
      <c r="N226" s="22" t="n"/>
    </row>
    <row r="227">
      <c r="B227" s="21" t="n"/>
      <c r="C227" s="22" t="n"/>
      <c r="D227" s="22" t="n"/>
      <c r="E227" s="22" t="n"/>
      <c r="F227" s="22" t="n"/>
      <c r="G227" s="22" t="n"/>
      <c r="H227" s="23" t="n"/>
      <c r="I227" s="22" t="n"/>
      <c r="J227" s="24">
        <f>IF($I227="","",IFERROR(VLOOKUP($I227,Settings!$G$10:$H$15,2,FALSE),""))</f>
        <v/>
      </c>
      <c r="K227" s="18">
        <f>IF(OR($H227="",$J227=""),"",$H227*$J227)</f>
        <v/>
      </c>
      <c r="L227" s="21" t="n"/>
      <c r="M227" s="25">
        <f>IF(OR($I227="",$L227=""),"",IF(AND($L227&lt;=TODAY(),$I227&lt;&gt;Settings!$G$14,$I227&lt;&gt;Settings!$G$15),"CALL TODAY",""))</f>
        <v/>
      </c>
      <c r="N227" s="22" t="n"/>
    </row>
    <row r="228">
      <c r="B228" s="21" t="n"/>
      <c r="C228" s="22" t="n"/>
      <c r="D228" s="22" t="n"/>
      <c r="E228" s="22" t="n"/>
      <c r="F228" s="22" t="n"/>
      <c r="G228" s="22" t="n"/>
      <c r="H228" s="23" t="n"/>
      <c r="I228" s="22" t="n"/>
      <c r="J228" s="24">
        <f>IF($I228="","",IFERROR(VLOOKUP($I228,Settings!$G$10:$H$15,2,FALSE),""))</f>
        <v/>
      </c>
      <c r="K228" s="18">
        <f>IF(OR($H228="",$J228=""),"",$H228*$J228)</f>
        <v/>
      </c>
      <c r="L228" s="21" t="n"/>
      <c r="M228" s="25">
        <f>IF(OR($I228="",$L228=""),"",IF(AND($L228&lt;=TODAY(),$I228&lt;&gt;Settings!$G$14,$I228&lt;&gt;Settings!$G$15),"CALL TODAY",""))</f>
        <v/>
      </c>
      <c r="N228" s="22" t="n"/>
    </row>
    <row r="229">
      <c r="B229" s="21" t="n"/>
      <c r="C229" s="22" t="n"/>
      <c r="D229" s="22" t="n"/>
      <c r="E229" s="22" t="n"/>
      <c r="F229" s="22" t="n"/>
      <c r="G229" s="22" t="n"/>
      <c r="H229" s="23" t="n"/>
      <c r="I229" s="22" t="n"/>
      <c r="J229" s="24">
        <f>IF($I229="","",IFERROR(VLOOKUP($I229,Settings!$G$10:$H$15,2,FALSE),""))</f>
        <v/>
      </c>
      <c r="K229" s="18">
        <f>IF(OR($H229="",$J229=""),"",$H229*$J229)</f>
        <v/>
      </c>
      <c r="L229" s="21" t="n"/>
      <c r="M229" s="25">
        <f>IF(OR($I229="",$L229=""),"",IF(AND($L229&lt;=TODAY(),$I229&lt;&gt;Settings!$G$14,$I229&lt;&gt;Settings!$G$15),"CALL TODAY",""))</f>
        <v/>
      </c>
      <c r="N229" s="22" t="n"/>
    </row>
    <row r="230">
      <c r="B230" s="21" t="n"/>
      <c r="C230" s="22" t="n"/>
      <c r="D230" s="22" t="n"/>
      <c r="E230" s="22" t="n"/>
      <c r="F230" s="22" t="n"/>
      <c r="G230" s="22" t="n"/>
      <c r="H230" s="23" t="n"/>
      <c r="I230" s="22" t="n"/>
      <c r="J230" s="24">
        <f>IF($I230="","",IFERROR(VLOOKUP($I230,Settings!$G$10:$H$15,2,FALSE),""))</f>
        <v/>
      </c>
      <c r="K230" s="18">
        <f>IF(OR($H230="",$J230=""),"",$H230*$J230)</f>
        <v/>
      </c>
      <c r="L230" s="21" t="n"/>
      <c r="M230" s="25">
        <f>IF(OR($I230="",$L230=""),"",IF(AND($L230&lt;=TODAY(),$I230&lt;&gt;Settings!$G$14,$I230&lt;&gt;Settings!$G$15),"CALL TODAY",""))</f>
        <v/>
      </c>
      <c r="N230" s="22" t="n"/>
    </row>
    <row r="231">
      <c r="B231" s="21" t="n"/>
      <c r="C231" s="22" t="n"/>
      <c r="D231" s="22" t="n"/>
      <c r="E231" s="22" t="n"/>
      <c r="F231" s="22" t="n"/>
      <c r="G231" s="22" t="n"/>
      <c r="H231" s="23" t="n"/>
      <c r="I231" s="22" t="n"/>
      <c r="J231" s="24">
        <f>IF($I231="","",IFERROR(VLOOKUP($I231,Settings!$G$10:$H$15,2,FALSE),""))</f>
        <v/>
      </c>
      <c r="K231" s="18">
        <f>IF(OR($H231="",$J231=""),"",$H231*$J231)</f>
        <v/>
      </c>
      <c r="L231" s="21" t="n"/>
      <c r="M231" s="25">
        <f>IF(OR($I231="",$L231=""),"",IF(AND($L231&lt;=TODAY(),$I231&lt;&gt;Settings!$G$14,$I231&lt;&gt;Settings!$G$15),"CALL TODAY",""))</f>
        <v/>
      </c>
      <c r="N231" s="22" t="n"/>
    </row>
    <row r="232">
      <c r="B232" s="21" t="n"/>
      <c r="C232" s="22" t="n"/>
      <c r="D232" s="22" t="n"/>
      <c r="E232" s="22" t="n"/>
      <c r="F232" s="22" t="n"/>
      <c r="G232" s="22" t="n"/>
      <c r="H232" s="23" t="n"/>
      <c r="I232" s="22" t="n"/>
      <c r="J232" s="24">
        <f>IF($I232="","",IFERROR(VLOOKUP($I232,Settings!$G$10:$H$15,2,FALSE),""))</f>
        <v/>
      </c>
      <c r="K232" s="18">
        <f>IF(OR($H232="",$J232=""),"",$H232*$J232)</f>
        <v/>
      </c>
      <c r="L232" s="21" t="n"/>
      <c r="M232" s="25">
        <f>IF(OR($I232="",$L232=""),"",IF(AND($L232&lt;=TODAY(),$I232&lt;&gt;Settings!$G$14,$I232&lt;&gt;Settings!$G$15),"CALL TODAY",""))</f>
        <v/>
      </c>
      <c r="N232" s="22" t="n"/>
    </row>
    <row r="233">
      <c r="B233" s="21" t="n"/>
      <c r="C233" s="22" t="n"/>
      <c r="D233" s="22" t="n"/>
      <c r="E233" s="22" t="n"/>
      <c r="F233" s="22" t="n"/>
      <c r="G233" s="22" t="n"/>
      <c r="H233" s="23" t="n"/>
      <c r="I233" s="22" t="n"/>
      <c r="J233" s="24">
        <f>IF($I233="","",IFERROR(VLOOKUP($I233,Settings!$G$10:$H$15,2,FALSE),""))</f>
        <v/>
      </c>
      <c r="K233" s="18">
        <f>IF(OR($H233="",$J233=""),"",$H233*$J233)</f>
        <v/>
      </c>
      <c r="L233" s="21" t="n"/>
      <c r="M233" s="25">
        <f>IF(OR($I233="",$L233=""),"",IF(AND($L233&lt;=TODAY(),$I233&lt;&gt;Settings!$G$14,$I233&lt;&gt;Settings!$G$15),"CALL TODAY",""))</f>
        <v/>
      </c>
      <c r="N233" s="22" t="n"/>
    </row>
    <row r="234">
      <c r="B234" s="21" t="n"/>
      <c r="C234" s="22" t="n"/>
      <c r="D234" s="22" t="n"/>
      <c r="E234" s="22" t="n"/>
      <c r="F234" s="22" t="n"/>
      <c r="G234" s="22" t="n"/>
      <c r="H234" s="23" t="n"/>
      <c r="I234" s="22" t="n"/>
      <c r="J234" s="24">
        <f>IF($I234="","",IFERROR(VLOOKUP($I234,Settings!$G$10:$H$15,2,FALSE),""))</f>
        <v/>
      </c>
      <c r="K234" s="18">
        <f>IF(OR($H234="",$J234=""),"",$H234*$J234)</f>
        <v/>
      </c>
      <c r="L234" s="21" t="n"/>
      <c r="M234" s="25">
        <f>IF(OR($I234="",$L234=""),"",IF(AND($L234&lt;=TODAY(),$I234&lt;&gt;Settings!$G$14,$I234&lt;&gt;Settings!$G$15),"CALL TODAY",""))</f>
        <v/>
      </c>
      <c r="N234" s="22" t="n"/>
    </row>
    <row r="235">
      <c r="B235" s="21" t="n"/>
      <c r="C235" s="22" t="n"/>
      <c r="D235" s="22" t="n"/>
      <c r="E235" s="22" t="n"/>
      <c r="F235" s="22" t="n"/>
      <c r="G235" s="22" t="n"/>
      <c r="H235" s="23" t="n"/>
      <c r="I235" s="22" t="n"/>
      <c r="J235" s="24">
        <f>IF($I235="","",IFERROR(VLOOKUP($I235,Settings!$G$10:$H$15,2,FALSE),""))</f>
        <v/>
      </c>
      <c r="K235" s="18">
        <f>IF(OR($H235="",$J235=""),"",$H235*$J235)</f>
        <v/>
      </c>
      <c r="L235" s="21" t="n"/>
      <c r="M235" s="25">
        <f>IF(OR($I235="",$L235=""),"",IF(AND($L235&lt;=TODAY(),$I235&lt;&gt;Settings!$G$14,$I235&lt;&gt;Settings!$G$15),"CALL TODAY",""))</f>
        <v/>
      </c>
      <c r="N235" s="22" t="n"/>
    </row>
    <row r="236">
      <c r="B236" s="21" t="n"/>
      <c r="C236" s="22" t="n"/>
      <c r="D236" s="22" t="n"/>
      <c r="E236" s="22" t="n"/>
      <c r="F236" s="22" t="n"/>
      <c r="G236" s="22" t="n"/>
      <c r="H236" s="23" t="n"/>
      <c r="I236" s="22" t="n"/>
      <c r="J236" s="24">
        <f>IF($I236="","",IFERROR(VLOOKUP($I236,Settings!$G$10:$H$15,2,FALSE),""))</f>
        <v/>
      </c>
      <c r="K236" s="18">
        <f>IF(OR($H236="",$J236=""),"",$H236*$J236)</f>
        <v/>
      </c>
      <c r="L236" s="21" t="n"/>
      <c r="M236" s="25">
        <f>IF(OR($I236="",$L236=""),"",IF(AND($L236&lt;=TODAY(),$I236&lt;&gt;Settings!$G$14,$I236&lt;&gt;Settings!$G$15),"CALL TODAY",""))</f>
        <v/>
      </c>
      <c r="N236" s="22" t="n"/>
    </row>
    <row r="237">
      <c r="B237" s="21" t="n"/>
      <c r="C237" s="22" t="n"/>
      <c r="D237" s="22" t="n"/>
      <c r="E237" s="22" t="n"/>
      <c r="F237" s="22" t="n"/>
      <c r="G237" s="22" t="n"/>
      <c r="H237" s="23" t="n"/>
      <c r="I237" s="22" t="n"/>
      <c r="J237" s="24">
        <f>IF($I237="","",IFERROR(VLOOKUP($I237,Settings!$G$10:$H$15,2,FALSE),""))</f>
        <v/>
      </c>
      <c r="K237" s="18">
        <f>IF(OR($H237="",$J237=""),"",$H237*$J237)</f>
        <v/>
      </c>
      <c r="L237" s="21" t="n"/>
      <c r="M237" s="25">
        <f>IF(OR($I237="",$L237=""),"",IF(AND($L237&lt;=TODAY(),$I237&lt;&gt;Settings!$G$14,$I237&lt;&gt;Settings!$G$15),"CALL TODAY",""))</f>
        <v/>
      </c>
      <c r="N237" s="22" t="n"/>
    </row>
    <row r="238">
      <c r="B238" s="21" t="n"/>
      <c r="C238" s="22" t="n"/>
      <c r="D238" s="22" t="n"/>
      <c r="E238" s="22" t="n"/>
      <c r="F238" s="22" t="n"/>
      <c r="G238" s="22" t="n"/>
      <c r="H238" s="23" t="n"/>
      <c r="I238" s="22" t="n"/>
      <c r="J238" s="24">
        <f>IF($I238="","",IFERROR(VLOOKUP($I238,Settings!$G$10:$H$15,2,FALSE),""))</f>
        <v/>
      </c>
      <c r="K238" s="18">
        <f>IF(OR($H238="",$J238=""),"",$H238*$J238)</f>
        <v/>
      </c>
      <c r="L238" s="21" t="n"/>
      <c r="M238" s="25">
        <f>IF(OR($I238="",$L238=""),"",IF(AND($L238&lt;=TODAY(),$I238&lt;&gt;Settings!$G$14,$I238&lt;&gt;Settings!$G$15),"CALL TODAY",""))</f>
        <v/>
      </c>
      <c r="N238" s="22" t="n"/>
    </row>
    <row r="239">
      <c r="B239" s="21" t="n"/>
      <c r="C239" s="22" t="n"/>
      <c r="D239" s="22" t="n"/>
      <c r="E239" s="22" t="n"/>
      <c r="F239" s="22" t="n"/>
      <c r="G239" s="22" t="n"/>
      <c r="H239" s="23" t="n"/>
      <c r="I239" s="22" t="n"/>
      <c r="J239" s="24">
        <f>IF($I239="","",IFERROR(VLOOKUP($I239,Settings!$G$10:$H$15,2,FALSE),""))</f>
        <v/>
      </c>
      <c r="K239" s="18">
        <f>IF(OR($H239="",$J239=""),"",$H239*$J239)</f>
        <v/>
      </c>
      <c r="L239" s="21" t="n"/>
      <c r="M239" s="25">
        <f>IF(OR($I239="",$L239=""),"",IF(AND($L239&lt;=TODAY(),$I239&lt;&gt;Settings!$G$14,$I239&lt;&gt;Settings!$G$15),"CALL TODAY",""))</f>
        <v/>
      </c>
      <c r="N239" s="22" t="n"/>
    </row>
    <row r="240">
      <c r="B240" s="21" t="n"/>
      <c r="C240" s="22" t="n"/>
      <c r="D240" s="22" t="n"/>
      <c r="E240" s="22" t="n"/>
      <c r="F240" s="22" t="n"/>
      <c r="G240" s="22" t="n"/>
      <c r="H240" s="23" t="n"/>
      <c r="I240" s="22" t="n"/>
      <c r="J240" s="24">
        <f>IF($I240="","",IFERROR(VLOOKUP($I240,Settings!$G$10:$H$15,2,FALSE),""))</f>
        <v/>
      </c>
      <c r="K240" s="18">
        <f>IF(OR($H240="",$J240=""),"",$H240*$J240)</f>
        <v/>
      </c>
      <c r="L240" s="21" t="n"/>
      <c r="M240" s="25">
        <f>IF(OR($I240="",$L240=""),"",IF(AND($L240&lt;=TODAY(),$I240&lt;&gt;Settings!$G$14,$I240&lt;&gt;Settings!$G$15),"CALL TODAY",""))</f>
        <v/>
      </c>
      <c r="N240" s="22" t="n"/>
    </row>
    <row r="241">
      <c r="B241" s="21" t="n"/>
      <c r="C241" s="22" t="n"/>
      <c r="D241" s="22" t="n"/>
      <c r="E241" s="22" t="n"/>
      <c r="F241" s="22" t="n"/>
      <c r="G241" s="22" t="n"/>
      <c r="H241" s="23" t="n"/>
      <c r="I241" s="22" t="n"/>
      <c r="J241" s="24">
        <f>IF($I241="","",IFERROR(VLOOKUP($I241,Settings!$G$10:$H$15,2,FALSE),""))</f>
        <v/>
      </c>
      <c r="K241" s="18">
        <f>IF(OR($H241="",$J241=""),"",$H241*$J241)</f>
        <v/>
      </c>
      <c r="L241" s="21" t="n"/>
      <c r="M241" s="25">
        <f>IF(OR($I241="",$L241=""),"",IF(AND($L241&lt;=TODAY(),$I241&lt;&gt;Settings!$G$14,$I241&lt;&gt;Settings!$G$15),"CALL TODAY",""))</f>
        <v/>
      </c>
      <c r="N241" s="22" t="n"/>
    </row>
    <row r="242">
      <c r="B242" s="21" t="n"/>
      <c r="C242" s="22" t="n"/>
      <c r="D242" s="22" t="n"/>
      <c r="E242" s="22" t="n"/>
      <c r="F242" s="22" t="n"/>
      <c r="G242" s="22" t="n"/>
      <c r="H242" s="23" t="n"/>
      <c r="I242" s="22" t="n"/>
      <c r="J242" s="24">
        <f>IF($I242="","",IFERROR(VLOOKUP($I242,Settings!$G$10:$H$15,2,FALSE),""))</f>
        <v/>
      </c>
      <c r="K242" s="18">
        <f>IF(OR($H242="",$J242=""),"",$H242*$J242)</f>
        <v/>
      </c>
      <c r="L242" s="21" t="n"/>
      <c r="M242" s="25">
        <f>IF(OR($I242="",$L242=""),"",IF(AND($L242&lt;=TODAY(),$I242&lt;&gt;Settings!$G$14,$I242&lt;&gt;Settings!$G$15),"CALL TODAY",""))</f>
        <v/>
      </c>
      <c r="N242" s="22" t="n"/>
    </row>
    <row r="243">
      <c r="B243" s="21" t="n"/>
      <c r="C243" s="22" t="n"/>
      <c r="D243" s="22" t="n"/>
      <c r="E243" s="22" t="n"/>
      <c r="F243" s="22" t="n"/>
      <c r="G243" s="22" t="n"/>
      <c r="H243" s="23" t="n"/>
      <c r="I243" s="22" t="n"/>
      <c r="J243" s="24">
        <f>IF($I243="","",IFERROR(VLOOKUP($I243,Settings!$G$10:$H$15,2,FALSE),""))</f>
        <v/>
      </c>
      <c r="K243" s="18">
        <f>IF(OR($H243="",$J243=""),"",$H243*$J243)</f>
        <v/>
      </c>
      <c r="L243" s="21" t="n"/>
      <c r="M243" s="25">
        <f>IF(OR($I243="",$L243=""),"",IF(AND($L243&lt;=TODAY(),$I243&lt;&gt;Settings!$G$14,$I243&lt;&gt;Settings!$G$15),"CALL TODAY",""))</f>
        <v/>
      </c>
      <c r="N243" s="22" t="n"/>
    </row>
    <row r="244">
      <c r="B244" s="21" t="n"/>
      <c r="C244" s="22" t="n"/>
      <c r="D244" s="22" t="n"/>
      <c r="E244" s="22" t="n"/>
      <c r="F244" s="22" t="n"/>
      <c r="G244" s="22" t="n"/>
      <c r="H244" s="23" t="n"/>
      <c r="I244" s="22" t="n"/>
      <c r="J244" s="24">
        <f>IF($I244="","",IFERROR(VLOOKUP($I244,Settings!$G$10:$H$15,2,FALSE),""))</f>
        <v/>
      </c>
      <c r="K244" s="18">
        <f>IF(OR($H244="",$J244=""),"",$H244*$J244)</f>
        <v/>
      </c>
      <c r="L244" s="21" t="n"/>
      <c r="M244" s="25">
        <f>IF(OR($I244="",$L244=""),"",IF(AND($L244&lt;=TODAY(),$I244&lt;&gt;Settings!$G$14,$I244&lt;&gt;Settings!$G$15),"CALL TODAY",""))</f>
        <v/>
      </c>
      <c r="N244" s="22" t="n"/>
    </row>
    <row r="245">
      <c r="B245" s="21" t="n"/>
      <c r="C245" s="22" t="n"/>
      <c r="D245" s="22" t="n"/>
      <c r="E245" s="22" t="n"/>
      <c r="F245" s="22" t="n"/>
      <c r="G245" s="22" t="n"/>
      <c r="H245" s="23" t="n"/>
      <c r="I245" s="22" t="n"/>
      <c r="J245" s="24">
        <f>IF($I245="","",IFERROR(VLOOKUP($I245,Settings!$G$10:$H$15,2,FALSE),""))</f>
        <v/>
      </c>
      <c r="K245" s="18">
        <f>IF(OR($H245="",$J245=""),"",$H245*$J245)</f>
        <v/>
      </c>
      <c r="L245" s="21" t="n"/>
      <c r="M245" s="25">
        <f>IF(OR($I245="",$L245=""),"",IF(AND($L245&lt;=TODAY(),$I245&lt;&gt;Settings!$G$14,$I245&lt;&gt;Settings!$G$15),"CALL TODAY",""))</f>
        <v/>
      </c>
      <c r="N245" s="22" t="n"/>
    </row>
    <row r="246">
      <c r="B246" s="21" t="n"/>
      <c r="C246" s="22" t="n"/>
      <c r="D246" s="22" t="n"/>
      <c r="E246" s="22" t="n"/>
      <c r="F246" s="22" t="n"/>
      <c r="G246" s="22" t="n"/>
      <c r="H246" s="23" t="n"/>
      <c r="I246" s="22" t="n"/>
      <c r="J246" s="24">
        <f>IF($I246="","",IFERROR(VLOOKUP($I246,Settings!$G$10:$H$15,2,FALSE),""))</f>
        <v/>
      </c>
      <c r="K246" s="18">
        <f>IF(OR($H246="",$J246=""),"",$H246*$J246)</f>
        <v/>
      </c>
      <c r="L246" s="21" t="n"/>
      <c r="M246" s="25">
        <f>IF(OR($I246="",$L246=""),"",IF(AND($L246&lt;=TODAY(),$I246&lt;&gt;Settings!$G$14,$I246&lt;&gt;Settings!$G$15),"CALL TODAY",""))</f>
        <v/>
      </c>
      <c r="N246" s="22" t="n"/>
    </row>
    <row r="247">
      <c r="B247" s="21" t="n"/>
      <c r="C247" s="22" t="n"/>
      <c r="D247" s="22" t="n"/>
      <c r="E247" s="22" t="n"/>
      <c r="F247" s="22" t="n"/>
      <c r="G247" s="22" t="n"/>
      <c r="H247" s="23" t="n"/>
      <c r="I247" s="22" t="n"/>
      <c r="J247" s="24">
        <f>IF($I247="","",IFERROR(VLOOKUP($I247,Settings!$G$10:$H$15,2,FALSE),""))</f>
        <v/>
      </c>
      <c r="K247" s="18">
        <f>IF(OR($H247="",$J247=""),"",$H247*$J247)</f>
        <v/>
      </c>
      <c r="L247" s="21" t="n"/>
      <c r="M247" s="25">
        <f>IF(OR($I247="",$L247=""),"",IF(AND($L247&lt;=TODAY(),$I247&lt;&gt;Settings!$G$14,$I247&lt;&gt;Settings!$G$15),"CALL TODAY",""))</f>
        <v/>
      </c>
      <c r="N247" s="22" t="n"/>
    </row>
    <row r="248">
      <c r="B248" s="21" t="n"/>
      <c r="C248" s="22" t="n"/>
      <c r="D248" s="22" t="n"/>
      <c r="E248" s="22" t="n"/>
      <c r="F248" s="22" t="n"/>
      <c r="G248" s="22" t="n"/>
      <c r="H248" s="23" t="n"/>
      <c r="I248" s="22" t="n"/>
      <c r="J248" s="24">
        <f>IF($I248="","",IFERROR(VLOOKUP($I248,Settings!$G$10:$H$15,2,FALSE),""))</f>
        <v/>
      </c>
      <c r="K248" s="18">
        <f>IF(OR($H248="",$J248=""),"",$H248*$J248)</f>
        <v/>
      </c>
      <c r="L248" s="21" t="n"/>
      <c r="M248" s="25">
        <f>IF(OR($I248="",$L248=""),"",IF(AND($L248&lt;=TODAY(),$I248&lt;&gt;Settings!$G$14,$I248&lt;&gt;Settings!$G$15),"CALL TODAY",""))</f>
        <v/>
      </c>
      <c r="N248" s="22" t="n"/>
    </row>
    <row r="249">
      <c r="B249" s="21" t="n"/>
      <c r="C249" s="22" t="n"/>
      <c r="D249" s="22" t="n"/>
      <c r="E249" s="22" t="n"/>
      <c r="F249" s="22" t="n"/>
      <c r="G249" s="22" t="n"/>
      <c r="H249" s="23" t="n"/>
      <c r="I249" s="22" t="n"/>
      <c r="J249" s="24">
        <f>IF($I249="","",IFERROR(VLOOKUP($I249,Settings!$G$10:$H$15,2,FALSE),""))</f>
        <v/>
      </c>
      <c r="K249" s="18">
        <f>IF(OR($H249="",$J249=""),"",$H249*$J249)</f>
        <v/>
      </c>
      <c r="L249" s="21" t="n"/>
      <c r="M249" s="25">
        <f>IF(OR($I249="",$L249=""),"",IF(AND($L249&lt;=TODAY(),$I249&lt;&gt;Settings!$G$14,$I249&lt;&gt;Settings!$G$15),"CALL TODAY",""))</f>
        <v/>
      </c>
      <c r="N249" s="22" t="n"/>
    </row>
    <row r="250">
      <c r="B250" s="21" t="n"/>
      <c r="C250" s="22" t="n"/>
      <c r="D250" s="22" t="n"/>
      <c r="E250" s="22" t="n"/>
      <c r="F250" s="22" t="n"/>
      <c r="G250" s="22" t="n"/>
      <c r="H250" s="23" t="n"/>
      <c r="I250" s="22" t="n"/>
      <c r="J250" s="24">
        <f>IF($I250="","",IFERROR(VLOOKUP($I250,Settings!$G$10:$H$15,2,FALSE),""))</f>
        <v/>
      </c>
      <c r="K250" s="18">
        <f>IF(OR($H250="",$J250=""),"",$H250*$J250)</f>
        <v/>
      </c>
      <c r="L250" s="21" t="n"/>
      <c r="M250" s="25">
        <f>IF(OR($I250="",$L250=""),"",IF(AND($L250&lt;=TODAY(),$I250&lt;&gt;Settings!$G$14,$I250&lt;&gt;Settings!$G$15),"CALL TODAY",""))</f>
        <v/>
      </c>
      <c r="N250" s="22" t="n"/>
    </row>
    <row r="251">
      <c r="B251" s="21" t="n"/>
      <c r="C251" s="22" t="n"/>
      <c r="D251" s="22" t="n"/>
      <c r="E251" s="22" t="n"/>
      <c r="F251" s="22" t="n"/>
      <c r="G251" s="22" t="n"/>
      <c r="H251" s="23" t="n"/>
      <c r="I251" s="22" t="n"/>
      <c r="J251" s="24">
        <f>IF($I251="","",IFERROR(VLOOKUP($I251,Settings!$G$10:$H$15,2,FALSE),""))</f>
        <v/>
      </c>
      <c r="K251" s="18">
        <f>IF(OR($H251="",$J251=""),"",$H251*$J251)</f>
        <v/>
      </c>
      <c r="L251" s="21" t="n"/>
      <c r="M251" s="25">
        <f>IF(OR($I251="",$L251=""),"",IF(AND($L251&lt;=TODAY(),$I251&lt;&gt;Settings!$G$14,$I251&lt;&gt;Settings!$G$15),"CALL TODAY",""))</f>
        <v/>
      </c>
      <c r="N251" s="22" t="n"/>
    </row>
    <row r="252">
      <c r="B252" s="21" t="n"/>
      <c r="C252" s="22" t="n"/>
      <c r="D252" s="22" t="n"/>
      <c r="E252" s="22" t="n"/>
      <c r="F252" s="22" t="n"/>
      <c r="G252" s="22" t="n"/>
      <c r="H252" s="23" t="n"/>
      <c r="I252" s="22" t="n"/>
      <c r="J252" s="24">
        <f>IF($I252="","",IFERROR(VLOOKUP($I252,Settings!$G$10:$H$15,2,FALSE),""))</f>
        <v/>
      </c>
      <c r="K252" s="18">
        <f>IF(OR($H252="",$J252=""),"",$H252*$J252)</f>
        <v/>
      </c>
      <c r="L252" s="21" t="n"/>
      <c r="M252" s="25">
        <f>IF(OR($I252="",$L252=""),"",IF(AND($L252&lt;=TODAY(),$I252&lt;&gt;Settings!$G$14,$I252&lt;&gt;Settings!$G$15),"CALL TODAY",""))</f>
        <v/>
      </c>
      <c r="N252" s="22" t="n"/>
    </row>
    <row r="253">
      <c r="B253" s="21" t="n"/>
      <c r="C253" s="22" t="n"/>
      <c r="D253" s="22" t="n"/>
      <c r="E253" s="22" t="n"/>
      <c r="F253" s="22" t="n"/>
      <c r="G253" s="22" t="n"/>
      <c r="H253" s="23" t="n"/>
      <c r="I253" s="22" t="n"/>
      <c r="J253" s="24">
        <f>IF($I253="","",IFERROR(VLOOKUP($I253,Settings!$G$10:$H$15,2,FALSE),""))</f>
        <v/>
      </c>
      <c r="K253" s="18">
        <f>IF(OR($H253="",$J253=""),"",$H253*$J253)</f>
        <v/>
      </c>
      <c r="L253" s="21" t="n"/>
      <c r="M253" s="25">
        <f>IF(OR($I253="",$L253=""),"",IF(AND($L253&lt;=TODAY(),$I253&lt;&gt;Settings!$G$14,$I253&lt;&gt;Settings!$G$15),"CALL TODAY",""))</f>
        <v/>
      </c>
      <c r="N253" s="22" t="n"/>
    </row>
    <row r="254">
      <c r="B254" s="21" t="n"/>
      <c r="C254" s="22" t="n"/>
      <c r="D254" s="22" t="n"/>
      <c r="E254" s="22" t="n"/>
      <c r="F254" s="22" t="n"/>
      <c r="G254" s="22" t="n"/>
      <c r="H254" s="23" t="n"/>
      <c r="I254" s="22" t="n"/>
      <c r="J254" s="24">
        <f>IF($I254="","",IFERROR(VLOOKUP($I254,Settings!$G$10:$H$15,2,FALSE),""))</f>
        <v/>
      </c>
      <c r="K254" s="18">
        <f>IF(OR($H254="",$J254=""),"",$H254*$J254)</f>
        <v/>
      </c>
      <c r="L254" s="21" t="n"/>
      <c r="M254" s="25">
        <f>IF(OR($I254="",$L254=""),"",IF(AND($L254&lt;=TODAY(),$I254&lt;&gt;Settings!$G$14,$I254&lt;&gt;Settings!$G$15),"CALL TODAY",""))</f>
        <v/>
      </c>
      <c r="N254" s="22" t="n"/>
    </row>
    <row r="255">
      <c r="B255" s="21" t="n"/>
      <c r="C255" s="22" t="n"/>
      <c r="D255" s="22" t="n"/>
      <c r="E255" s="22" t="n"/>
      <c r="F255" s="22" t="n"/>
      <c r="G255" s="22" t="n"/>
      <c r="H255" s="23" t="n"/>
      <c r="I255" s="22" t="n"/>
      <c r="J255" s="24">
        <f>IF($I255="","",IFERROR(VLOOKUP($I255,Settings!$G$10:$H$15,2,FALSE),""))</f>
        <v/>
      </c>
      <c r="K255" s="18">
        <f>IF(OR($H255="",$J255=""),"",$H255*$J255)</f>
        <v/>
      </c>
      <c r="L255" s="21" t="n"/>
      <c r="M255" s="25">
        <f>IF(OR($I255="",$L255=""),"",IF(AND($L255&lt;=TODAY(),$I255&lt;&gt;Settings!$G$14,$I255&lt;&gt;Settings!$G$15),"CALL TODAY",""))</f>
        <v/>
      </c>
      <c r="N255" s="22" t="n"/>
    </row>
    <row r="256">
      <c r="B256" s="21" t="n"/>
      <c r="C256" s="22" t="n"/>
      <c r="D256" s="22" t="n"/>
      <c r="E256" s="22" t="n"/>
      <c r="F256" s="22" t="n"/>
      <c r="G256" s="22" t="n"/>
      <c r="H256" s="23" t="n"/>
      <c r="I256" s="22" t="n"/>
      <c r="J256" s="24">
        <f>IF($I256="","",IFERROR(VLOOKUP($I256,Settings!$G$10:$H$15,2,FALSE),""))</f>
        <v/>
      </c>
      <c r="K256" s="18">
        <f>IF(OR($H256="",$J256=""),"",$H256*$J256)</f>
        <v/>
      </c>
      <c r="L256" s="21" t="n"/>
      <c r="M256" s="25">
        <f>IF(OR($I256="",$L256=""),"",IF(AND($L256&lt;=TODAY(),$I256&lt;&gt;Settings!$G$14,$I256&lt;&gt;Settings!$G$15),"CALL TODAY",""))</f>
        <v/>
      </c>
      <c r="N256" s="22" t="n"/>
    </row>
    <row r="257">
      <c r="B257" s="21" t="n"/>
      <c r="C257" s="22" t="n"/>
      <c r="D257" s="22" t="n"/>
      <c r="E257" s="22" t="n"/>
      <c r="F257" s="22" t="n"/>
      <c r="G257" s="22" t="n"/>
      <c r="H257" s="23" t="n"/>
      <c r="I257" s="22" t="n"/>
      <c r="J257" s="24">
        <f>IF($I257="","",IFERROR(VLOOKUP($I257,Settings!$G$10:$H$15,2,FALSE),""))</f>
        <v/>
      </c>
      <c r="K257" s="18">
        <f>IF(OR($H257="",$J257=""),"",$H257*$J257)</f>
        <v/>
      </c>
      <c r="L257" s="21" t="n"/>
      <c r="M257" s="25">
        <f>IF(OR($I257="",$L257=""),"",IF(AND($L257&lt;=TODAY(),$I257&lt;&gt;Settings!$G$14,$I257&lt;&gt;Settings!$G$15),"CALL TODAY",""))</f>
        <v/>
      </c>
      <c r="N257" s="22" t="n"/>
    </row>
    <row r="258">
      <c r="B258" s="21" t="n"/>
      <c r="C258" s="22" t="n"/>
      <c r="D258" s="22" t="n"/>
      <c r="E258" s="22" t="n"/>
      <c r="F258" s="22" t="n"/>
      <c r="G258" s="22" t="n"/>
      <c r="H258" s="23" t="n"/>
      <c r="I258" s="22" t="n"/>
      <c r="J258" s="24">
        <f>IF($I258="","",IFERROR(VLOOKUP($I258,Settings!$G$10:$H$15,2,FALSE),""))</f>
        <v/>
      </c>
      <c r="K258" s="18">
        <f>IF(OR($H258="",$J258=""),"",$H258*$J258)</f>
        <v/>
      </c>
      <c r="L258" s="21" t="n"/>
      <c r="M258" s="25">
        <f>IF(OR($I258="",$L258=""),"",IF(AND($L258&lt;=TODAY(),$I258&lt;&gt;Settings!$G$14,$I258&lt;&gt;Settings!$G$15),"CALL TODAY",""))</f>
        <v/>
      </c>
      <c r="N258" s="22" t="n"/>
    </row>
    <row r="259">
      <c r="B259" s="21" t="n"/>
      <c r="C259" s="22" t="n"/>
      <c r="D259" s="22" t="n"/>
      <c r="E259" s="22" t="n"/>
      <c r="F259" s="22" t="n"/>
      <c r="G259" s="22" t="n"/>
      <c r="H259" s="23" t="n"/>
      <c r="I259" s="22" t="n"/>
      <c r="J259" s="24">
        <f>IF($I259="","",IFERROR(VLOOKUP($I259,Settings!$G$10:$H$15,2,FALSE),""))</f>
        <v/>
      </c>
      <c r="K259" s="18">
        <f>IF(OR($H259="",$J259=""),"",$H259*$J259)</f>
        <v/>
      </c>
      <c r="L259" s="21" t="n"/>
      <c r="M259" s="25">
        <f>IF(OR($I259="",$L259=""),"",IF(AND($L259&lt;=TODAY(),$I259&lt;&gt;Settings!$G$14,$I259&lt;&gt;Settings!$G$15),"CALL TODAY",""))</f>
        <v/>
      </c>
      <c r="N259" s="22" t="n"/>
    </row>
    <row r="260">
      <c r="B260" s="21" t="n"/>
      <c r="C260" s="22" t="n"/>
      <c r="D260" s="22" t="n"/>
      <c r="E260" s="22" t="n"/>
      <c r="F260" s="22" t="n"/>
      <c r="G260" s="22" t="n"/>
      <c r="H260" s="23" t="n"/>
      <c r="I260" s="22" t="n"/>
      <c r="J260" s="24">
        <f>IF($I260="","",IFERROR(VLOOKUP($I260,Settings!$G$10:$H$15,2,FALSE),""))</f>
        <v/>
      </c>
      <c r="K260" s="18">
        <f>IF(OR($H260="",$J260=""),"",$H260*$J260)</f>
        <v/>
      </c>
      <c r="L260" s="21" t="n"/>
      <c r="M260" s="25">
        <f>IF(OR($I260="",$L260=""),"",IF(AND($L260&lt;=TODAY(),$I260&lt;&gt;Settings!$G$14,$I260&lt;&gt;Settings!$G$15),"CALL TODAY",""))</f>
        <v/>
      </c>
      <c r="N260" s="22" t="n"/>
    </row>
    <row r="261">
      <c r="B261" s="21" t="n"/>
      <c r="C261" s="22" t="n"/>
      <c r="D261" s="22" t="n"/>
      <c r="E261" s="22" t="n"/>
      <c r="F261" s="22" t="n"/>
      <c r="G261" s="22" t="n"/>
      <c r="H261" s="23" t="n"/>
      <c r="I261" s="22" t="n"/>
      <c r="J261" s="24">
        <f>IF($I261="","",IFERROR(VLOOKUP($I261,Settings!$G$10:$H$15,2,FALSE),""))</f>
        <v/>
      </c>
      <c r="K261" s="18">
        <f>IF(OR($H261="",$J261=""),"",$H261*$J261)</f>
        <v/>
      </c>
      <c r="L261" s="21" t="n"/>
      <c r="M261" s="25">
        <f>IF(OR($I261="",$L261=""),"",IF(AND($L261&lt;=TODAY(),$I261&lt;&gt;Settings!$G$14,$I261&lt;&gt;Settings!$G$15),"CALL TODAY",""))</f>
        <v/>
      </c>
      <c r="N261" s="22" t="n"/>
    </row>
    <row r="262">
      <c r="B262" s="21" t="n"/>
      <c r="C262" s="22" t="n"/>
      <c r="D262" s="22" t="n"/>
      <c r="E262" s="22" t="n"/>
      <c r="F262" s="22" t="n"/>
      <c r="G262" s="22" t="n"/>
      <c r="H262" s="23" t="n"/>
      <c r="I262" s="22" t="n"/>
      <c r="J262" s="24">
        <f>IF($I262="","",IFERROR(VLOOKUP($I262,Settings!$G$10:$H$15,2,FALSE),""))</f>
        <v/>
      </c>
      <c r="K262" s="18">
        <f>IF(OR($H262="",$J262=""),"",$H262*$J262)</f>
        <v/>
      </c>
      <c r="L262" s="21" t="n"/>
      <c r="M262" s="25">
        <f>IF(OR($I262="",$L262=""),"",IF(AND($L262&lt;=TODAY(),$I262&lt;&gt;Settings!$G$14,$I262&lt;&gt;Settings!$G$15),"CALL TODAY",""))</f>
        <v/>
      </c>
      <c r="N262" s="22" t="n"/>
    </row>
    <row r="263">
      <c r="B263" s="21" t="n"/>
      <c r="C263" s="22" t="n"/>
      <c r="D263" s="22" t="n"/>
      <c r="E263" s="22" t="n"/>
      <c r="F263" s="22" t="n"/>
      <c r="G263" s="22" t="n"/>
      <c r="H263" s="23" t="n"/>
      <c r="I263" s="22" t="n"/>
      <c r="J263" s="24">
        <f>IF($I263="","",IFERROR(VLOOKUP($I263,Settings!$G$10:$H$15,2,FALSE),""))</f>
        <v/>
      </c>
      <c r="K263" s="18">
        <f>IF(OR($H263="",$J263=""),"",$H263*$J263)</f>
        <v/>
      </c>
      <c r="L263" s="21" t="n"/>
      <c r="M263" s="25">
        <f>IF(OR($I263="",$L263=""),"",IF(AND($L263&lt;=TODAY(),$I263&lt;&gt;Settings!$G$14,$I263&lt;&gt;Settings!$G$15),"CALL TODAY",""))</f>
        <v/>
      </c>
      <c r="N263" s="22" t="n"/>
    </row>
    <row r="264">
      <c r="B264" s="21" t="n"/>
      <c r="C264" s="22" t="n"/>
      <c r="D264" s="22" t="n"/>
      <c r="E264" s="22" t="n"/>
      <c r="F264" s="22" t="n"/>
      <c r="G264" s="22" t="n"/>
      <c r="H264" s="23" t="n"/>
      <c r="I264" s="22" t="n"/>
      <c r="J264" s="24">
        <f>IF($I264="","",IFERROR(VLOOKUP($I264,Settings!$G$10:$H$15,2,FALSE),""))</f>
        <v/>
      </c>
      <c r="K264" s="18">
        <f>IF(OR($H264="",$J264=""),"",$H264*$J264)</f>
        <v/>
      </c>
      <c r="L264" s="21" t="n"/>
      <c r="M264" s="25">
        <f>IF(OR($I264="",$L264=""),"",IF(AND($L264&lt;=TODAY(),$I264&lt;&gt;Settings!$G$14,$I264&lt;&gt;Settings!$G$15),"CALL TODAY",""))</f>
        <v/>
      </c>
      <c r="N264" s="22" t="n"/>
    </row>
    <row r="265">
      <c r="B265" s="21" t="n"/>
      <c r="C265" s="22" t="n"/>
      <c r="D265" s="22" t="n"/>
      <c r="E265" s="22" t="n"/>
      <c r="F265" s="22" t="n"/>
      <c r="G265" s="22" t="n"/>
      <c r="H265" s="23" t="n"/>
      <c r="I265" s="22" t="n"/>
      <c r="J265" s="24">
        <f>IF($I265="","",IFERROR(VLOOKUP($I265,Settings!$G$10:$H$15,2,FALSE),""))</f>
        <v/>
      </c>
      <c r="K265" s="18">
        <f>IF(OR($H265="",$J265=""),"",$H265*$J265)</f>
        <v/>
      </c>
      <c r="L265" s="21" t="n"/>
      <c r="M265" s="25">
        <f>IF(OR($I265="",$L265=""),"",IF(AND($L265&lt;=TODAY(),$I265&lt;&gt;Settings!$G$14,$I265&lt;&gt;Settings!$G$15),"CALL TODAY",""))</f>
        <v/>
      </c>
      <c r="N265" s="22" t="n"/>
    </row>
    <row r="266">
      <c r="B266" s="21" t="n"/>
      <c r="C266" s="22" t="n"/>
      <c r="D266" s="22" t="n"/>
      <c r="E266" s="22" t="n"/>
      <c r="F266" s="22" t="n"/>
      <c r="G266" s="22" t="n"/>
      <c r="H266" s="23" t="n"/>
      <c r="I266" s="22" t="n"/>
      <c r="J266" s="24">
        <f>IF($I266="","",IFERROR(VLOOKUP($I266,Settings!$G$10:$H$15,2,FALSE),""))</f>
        <v/>
      </c>
      <c r="K266" s="18">
        <f>IF(OR($H266="",$J266=""),"",$H266*$J266)</f>
        <v/>
      </c>
      <c r="L266" s="21" t="n"/>
      <c r="M266" s="25">
        <f>IF(OR($I266="",$L266=""),"",IF(AND($L266&lt;=TODAY(),$I266&lt;&gt;Settings!$G$14,$I266&lt;&gt;Settings!$G$15),"CALL TODAY",""))</f>
        <v/>
      </c>
      <c r="N266" s="22" t="n"/>
    </row>
    <row r="267">
      <c r="B267" s="21" t="n"/>
      <c r="C267" s="22" t="n"/>
      <c r="D267" s="22" t="n"/>
      <c r="E267" s="22" t="n"/>
      <c r="F267" s="22" t="n"/>
      <c r="G267" s="22" t="n"/>
      <c r="H267" s="23" t="n"/>
      <c r="I267" s="22" t="n"/>
      <c r="J267" s="24">
        <f>IF($I267="","",IFERROR(VLOOKUP($I267,Settings!$G$10:$H$15,2,FALSE),""))</f>
        <v/>
      </c>
      <c r="K267" s="18">
        <f>IF(OR($H267="",$J267=""),"",$H267*$J267)</f>
        <v/>
      </c>
      <c r="L267" s="21" t="n"/>
      <c r="M267" s="25">
        <f>IF(OR($I267="",$L267=""),"",IF(AND($L267&lt;=TODAY(),$I267&lt;&gt;Settings!$G$14,$I267&lt;&gt;Settings!$G$15),"CALL TODAY",""))</f>
        <v/>
      </c>
      <c r="N267" s="22" t="n"/>
    </row>
    <row r="268">
      <c r="B268" s="21" t="n"/>
      <c r="C268" s="22" t="n"/>
      <c r="D268" s="22" t="n"/>
      <c r="E268" s="22" t="n"/>
      <c r="F268" s="22" t="n"/>
      <c r="G268" s="22" t="n"/>
      <c r="H268" s="23" t="n"/>
      <c r="I268" s="22" t="n"/>
      <c r="J268" s="24">
        <f>IF($I268="","",IFERROR(VLOOKUP($I268,Settings!$G$10:$H$15,2,FALSE),""))</f>
        <v/>
      </c>
      <c r="K268" s="18">
        <f>IF(OR($H268="",$J268=""),"",$H268*$J268)</f>
        <v/>
      </c>
      <c r="L268" s="21" t="n"/>
      <c r="M268" s="25">
        <f>IF(OR($I268="",$L268=""),"",IF(AND($L268&lt;=TODAY(),$I268&lt;&gt;Settings!$G$14,$I268&lt;&gt;Settings!$G$15),"CALL TODAY",""))</f>
        <v/>
      </c>
      <c r="N268" s="22" t="n"/>
    </row>
    <row r="269">
      <c r="B269" s="21" t="n"/>
      <c r="C269" s="22" t="n"/>
      <c r="D269" s="22" t="n"/>
      <c r="E269" s="22" t="n"/>
      <c r="F269" s="22" t="n"/>
      <c r="G269" s="22" t="n"/>
      <c r="H269" s="23" t="n"/>
      <c r="I269" s="22" t="n"/>
      <c r="J269" s="24">
        <f>IF($I269="","",IFERROR(VLOOKUP($I269,Settings!$G$10:$H$15,2,FALSE),""))</f>
        <v/>
      </c>
      <c r="K269" s="18">
        <f>IF(OR($H269="",$J269=""),"",$H269*$J269)</f>
        <v/>
      </c>
      <c r="L269" s="21" t="n"/>
      <c r="M269" s="25">
        <f>IF(OR($I269="",$L269=""),"",IF(AND($L269&lt;=TODAY(),$I269&lt;&gt;Settings!$G$14,$I269&lt;&gt;Settings!$G$15),"CALL TODAY",""))</f>
        <v/>
      </c>
      <c r="N269" s="22" t="n"/>
    </row>
    <row r="270">
      <c r="B270" s="21" t="n"/>
      <c r="C270" s="22" t="n"/>
      <c r="D270" s="22" t="n"/>
      <c r="E270" s="22" t="n"/>
      <c r="F270" s="22" t="n"/>
      <c r="G270" s="22" t="n"/>
      <c r="H270" s="23" t="n"/>
      <c r="I270" s="22" t="n"/>
      <c r="J270" s="24">
        <f>IF($I270="","",IFERROR(VLOOKUP($I270,Settings!$G$10:$H$15,2,FALSE),""))</f>
        <v/>
      </c>
      <c r="K270" s="18">
        <f>IF(OR($H270="",$J270=""),"",$H270*$J270)</f>
        <v/>
      </c>
      <c r="L270" s="21" t="n"/>
      <c r="M270" s="25">
        <f>IF(OR($I270="",$L270=""),"",IF(AND($L270&lt;=TODAY(),$I270&lt;&gt;Settings!$G$14,$I270&lt;&gt;Settings!$G$15),"CALL TODAY",""))</f>
        <v/>
      </c>
      <c r="N270" s="22" t="n"/>
    </row>
    <row r="271">
      <c r="B271" s="21" t="n"/>
      <c r="C271" s="22" t="n"/>
      <c r="D271" s="22" t="n"/>
      <c r="E271" s="22" t="n"/>
      <c r="F271" s="22" t="n"/>
      <c r="G271" s="22" t="n"/>
      <c r="H271" s="23" t="n"/>
      <c r="I271" s="22" t="n"/>
      <c r="J271" s="24">
        <f>IF($I271="","",IFERROR(VLOOKUP($I271,Settings!$G$10:$H$15,2,FALSE),""))</f>
        <v/>
      </c>
      <c r="K271" s="18">
        <f>IF(OR($H271="",$J271=""),"",$H271*$J271)</f>
        <v/>
      </c>
      <c r="L271" s="21" t="n"/>
      <c r="M271" s="25">
        <f>IF(OR($I271="",$L271=""),"",IF(AND($L271&lt;=TODAY(),$I271&lt;&gt;Settings!$G$14,$I271&lt;&gt;Settings!$G$15),"CALL TODAY",""))</f>
        <v/>
      </c>
      <c r="N271" s="22" t="n"/>
    </row>
    <row r="272">
      <c r="B272" s="21" t="n"/>
      <c r="C272" s="22" t="n"/>
      <c r="D272" s="22" t="n"/>
      <c r="E272" s="22" t="n"/>
      <c r="F272" s="22" t="n"/>
      <c r="G272" s="22" t="n"/>
      <c r="H272" s="23" t="n"/>
      <c r="I272" s="22" t="n"/>
      <c r="J272" s="24">
        <f>IF($I272="","",IFERROR(VLOOKUP($I272,Settings!$G$10:$H$15,2,FALSE),""))</f>
        <v/>
      </c>
      <c r="K272" s="18">
        <f>IF(OR($H272="",$J272=""),"",$H272*$J272)</f>
        <v/>
      </c>
      <c r="L272" s="21" t="n"/>
      <c r="M272" s="25">
        <f>IF(OR($I272="",$L272=""),"",IF(AND($L272&lt;=TODAY(),$I272&lt;&gt;Settings!$G$14,$I272&lt;&gt;Settings!$G$15),"CALL TODAY",""))</f>
        <v/>
      </c>
      <c r="N272" s="22" t="n"/>
    </row>
    <row r="273">
      <c r="B273" s="21" t="n"/>
      <c r="C273" s="22" t="n"/>
      <c r="D273" s="22" t="n"/>
      <c r="E273" s="22" t="n"/>
      <c r="F273" s="22" t="n"/>
      <c r="G273" s="22" t="n"/>
      <c r="H273" s="23" t="n"/>
      <c r="I273" s="22" t="n"/>
      <c r="J273" s="24">
        <f>IF($I273="","",IFERROR(VLOOKUP($I273,Settings!$G$10:$H$15,2,FALSE),""))</f>
        <v/>
      </c>
      <c r="K273" s="18">
        <f>IF(OR($H273="",$J273=""),"",$H273*$J273)</f>
        <v/>
      </c>
      <c r="L273" s="21" t="n"/>
      <c r="M273" s="25">
        <f>IF(OR($I273="",$L273=""),"",IF(AND($L273&lt;=TODAY(),$I273&lt;&gt;Settings!$G$14,$I273&lt;&gt;Settings!$G$15),"CALL TODAY",""))</f>
        <v/>
      </c>
      <c r="N273" s="22" t="n"/>
    </row>
    <row r="274">
      <c r="B274" s="21" t="n"/>
      <c r="C274" s="22" t="n"/>
      <c r="D274" s="22" t="n"/>
      <c r="E274" s="22" t="n"/>
      <c r="F274" s="22" t="n"/>
      <c r="G274" s="22" t="n"/>
      <c r="H274" s="23" t="n"/>
      <c r="I274" s="22" t="n"/>
      <c r="J274" s="24">
        <f>IF($I274="","",IFERROR(VLOOKUP($I274,Settings!$G$10:$H$15,2,FALSE),""))</f>
        <v/>
      </c>
      <c r="K274" s="18">
        <f>IF(OR($H274="",$J274=""),"",$H274*$J274)</f>
        <v/>
      </c>
      <c r="L274" s="21" t="n"/>
      <c r="M274" s="25">
        <f>IF(OR($I274="",$L274=""),"",IF(AND($L274&lt;=TODAY(),$I274&lt;&gt;Settings!$G$14,$I274&lt;&gt;Settings!$G$15),"CALL TODAY",""))</f>
        <v/>
      </c>
      <c r="N274" s="22" t="n"/>
    </row>
    <row r="275">
      <c r="B275" s="21" t="n"/>
      <c r="C275" s="22" t="n"/>
      <c r="D275" s="22" t="n"/>
      <c r="E275" s="22" t="n"/>
      <c r="F275" s="22" t="n"/>
      <c r="G275" s="22" t="n"/>
      <c r="H275" s="23" t="n"/>
      <c r="I275" s="22" t="n"/>
      <c r="J275" s="24">
        <f>IF($I275="","",IFERROR(VLOOKUP($I275,Settings!$G$10:$H$15,2,FALSE),""))</f>
        <v/>
      </c>
      <c r="K275" s="18">
        <f>IF(OR($H275="",$J275=""),"",$H275*$J275)</f>
        <v/>
      </c>
      <c r="L275" s="21" t="n"/>
      <c r="M275" s="25">
        <f>IF(OR($I275="",$L275=""),"",IF(AND($L275&lt;=TODAY(),$I275&lt;&gt;Settings!$G$14,$I275&lt;&gt;Settings!$G$15),"CALL TODAY",""))</f>
        <v/>
      </c>
      <c r="N275" s="22" t="n"/>
    </row>
    <row r="276">
      <c r="B276" s="21" t="n"/>
      <c r="C276" s="22" t="n"/>
      <c r="D276" s="22" t="n"/>
      <c r="E276" s="22" t="n"/>
      <c r="F276" s="22" t="n"/>
      <c r="G276" s="22" t="n"/>
      <c r="H276" s="23" t="n"/>
      <c r="I276" s="22" t="n"/>
      <c r="J276" s="24">
        <f>IF($I276="","",IFERROR(VLOOKUP($I276,Settings!$G$10:$H$15,2,FALSE),""))</f>
        <v/>
      </c>
      <c r="K276" s="18">
        <f>IF(OR($H276="",$J276=""),"",$H276*$J276)</f>
        <v/>
      </c>
      <c r="L276" s="21" t="n"/>
      <c r="M276" s="25">
        <f>IF(OR($I276="",$L276=""),"",IF(AND($L276&lt;=TODAY(),$I276&lt;&gt;Settings!$G$14,$I276&lt;&gt;Settings!$G$15),"CALL TODAY",""))</f>
        <v/>
      </c>
      <c r="N276" s="22" t="n"/>
    </row>
    <row r="277">
      <c r="B277" s="21" t="n"/>
      <c r="C277" s="22" t="n"/>
      <c r="D277" s="22" t="n"/>
      <c r="E277" s="22" t="n"/>
      <c r="F277" s="22" t="n"/>
      <c r="G277" s="22" t="n"/>
      <c r="H277" s="23" t="n"/>
      <c r="I277" s="22" t="n"/>
      <c r="J277" s="24">
        <f>IF($I277="","",IFERROR(VLOOKUP($I277,Settings!$G$10:$H$15,2,FALSE),""))</f>
        <v/>
      </c>
      <c r="K277" s="18">
        <f>IF(OR($H277="",$J277=""),"",$H277*$J277)</f>
        <v/>
      </c>
      <c r="L277" s="21" t="n"/>
      <c r="M277" s="25">
        <f>IF(OR($I277="",$L277=""),"",IF(AND($L277&lt;=TODAY(),$I277&lt;&gt;Settings!$G$14,$I277&lt;&gt;Settings!$G$15),"CALL TODAY",""))</f>
        <v/>
      </c>
      <c r="N277" s="22" t="n"/>
    </row>
    <row r="278">
      <c r="B278" s="21" t="n"/>
      <c r="C278" s="22" t="n"/>
      <c r="D278" s="22" t="n"/>
      <c r="E278" s="22" t="n"/>
      <c r="F278" s="22" t="n"/>
      <c r="G278" s="22" t="n"/>
      <c r="H278" s="23" t="n"/>
      <c r="I278" s="22" t="n"/>
      <c r="J278" s="24">
        <f>IF($I278="","",IFERROR(VLOOKUP($I278,Settings!$G$10:$H$15,2,FALSE),""))</f>
        <v/>
      </c>
      <c r="K278" s="18">
        <f>IF(OR($H278="",$J278=""),"",$H278*$J278)</f>
        <v/>
      </c>
      <c r="L278" s="21" t="n"/>
      <c r="M278" s="25">
        <f>IF(OR($I278="",$L278=""),"",IF(AND($L278&lt;=TODAY(),$I278&lt;&gt;Settings!$G$14,$I278&lt;&gt;Settings!$G$15),"CALL TODAY",""))</f>
        <v/>
      </c>
      <c r="N278" s="22" t="n"/>
    </row>
    <row r="279">
      <c r="B279" s="21" t="n"/>
      <c r="C279" s="22" t="n"/>
      <c r="D279" s="22" t="n"/>
      <c r="E279" s="22" t="n"/>
      <c r="F279" s="22" t="n"/>
      <c r="G279" s="22" t="n"/>
      <c r="H279" s="23" t="n"/>
      <c r="I279" s="22" t="n"/>
      <c r="J279" s="24">
        <f>IF($I279="","",IFERROR(VLOOKUP($I279,Settings!$G$10:$H$15,2,FALSE),""))</f>
        <v/>
      </c>
      <c r="K279" s="18">
        <f>IF(OR($H279="",$J279=""),"",$H279*$J279)</f>
        <v/>
      </c>
      <c r="L279" s="21" t="n"/>
      <c r="M279" s="25">
        <f>IF(OR($I279="",$L279=""),"",IF(AND($L279&lt;=TODAY(),$I279&lt;&gt;Settings!$G$14,$I279&lt;&gt;Settings!$G$15),"CALL TODAY",""))</f>
        <v/>
      </c>
      <c r="N279" s="22" t="n"/>
    </row>
    <row r="280">
      <c r="B280" s="21" t="n"/>
      <c r="C280" s="22" t="n"/>
      <c r="D280" s="22" t="n"/>
      <c r="E280" s="22" t="n"/>
      <c r="F280" s="22" t="n"/>
      <c r="G280" s="22" t="n"/>
      <c r="H280" s="23" t="n"/>
      <c r="I280" s="22" t="n"/>
      <c r="J280" s="24">
        <f>IF($I280="","",IFERROR(VLOOKUP($I280,Settings!$G$10:$H$15,2,FALSE),""))</f>
        <v/>
      </c>
      <c r="K280" s="18">
        <f>IF(OR($H280="",$J280=""),"",$H280*$J280)</f>
        <v/>
      </c>
      <c r="L280" s="21" t="n"/>
      <c r="M280" s="25">
        <f>IF(OR($I280="",$L280=""),"",IF(AND($L280&lt;=TODAY(),$I280&lt;&gt;Settings!$G$14,$I280&lt;&gt;Settings!$G$15),"CALL TODAY",""))</f>
        <v/>
      </c>
      <c r="N280" s="22" t="n"/>
    </row>
    <row r="281">
      <c r="B281" s="21" t="n"/>
      <c r="C281" s="22" t="n"/>
      <c r="D281" s="22" t="n"/>
      <c r="E281" s="22" t="n"/>
      <c r="F281" s="22" t="n"/>
      <c r="G281" s="22" t="n"/>
      <c r="H281" s="23" t="n"/>
      <c r="I281" s="22" t="n"/>
      <c r="J281" s="24">
        <f>IF($I281="","",IFERROR(VLOOKUP($I281,Settings!$G$10:$H$15,2,FALSE),""))</f>
        <v/>
      </c>
      <c r="K281" s="18">
        <f>IF(OR($H281="",$J281=""),"",$H281*$J281)</f>
        <v/>
      </c>
      <c r="L281" s="21" t="n"/>
      <c r="M281" s="25">
        <f>IF(OR($I281="",$L281=""),"",IF(AND($L281&lt;=TODAY(),$I281&lt;&gt;Settings!$G$14,$I281&lt;&gt;Settings!$G$15),"CALL TODAY",""))</f>
        <v/>
      </c>
      <c r="N281" s="22" t="n"/>
    </row>
    <row r="282">
      <c r="B282" s="21" t="n"/>
      <c r="C282" s="22" t="n"/>
      <c r="D282" s="22" t="n"/>
      <c r="E282" s="22" t="n"/>
      <c r="F282" s="22" t="n"/>
      <c r="G282" s="22" t="n"/>
      <c r="H282" s="23" t="n"/>
      <c r="I282" s="22" t="n"/>
      <c r="J282" s="24">
        <f>IF($I282="","",IFERROR(VLOOKUP($I282,Settings!$G$10:$H$15,2,FALSE),""))</f>
        <v/>
      </c>
      <c r="K282" s="18">
        <f>IF(OR($H282="",$J282=""),"",$H282*$J282)</f>
        <v/>
      </c>
      <c r="L282" s="21" t="n"/>
      <c r="M282" s="25">
        <f>IF(OR($I282="",$L282=""),"",IF(AND($L282&lt;=TODAY(),$I282&lt;&gt;Settings!$G$14,$I282&lt;&gt;Settings!$G$15),"CALL TODAY",""))</f>
        <v/>
      </c>
      <c r="N282" s="22" t="n"/>
    </row>
    <row r="283">
      <c r="B283" s="21" t="n"/>
      <c r="C283" s="22" t="n"/>
      <c r="D283" s="22" t="n"/>
      <c r="E283" s="22" t="n"/>
      <c r="F283" s="22" t="n"/>
      <c r="G283" s="22" t="n"/>
      <c r="H283" s="23" t="n"/>
      <c r="I283" s="22" t="n"/>
      <c r="J283" s="24">
        <f>IF($I283="","",IFERROR(VLOOKUP($I283,Settings!$G$10:$H$15,2,FALSE),""))</f>
        <v/>
      </c>
      <c r="K283" s="18">
        <f>IF(OR($H283="",$J283=""),"",$H283*$J283)</f>
        <v/>
      </c>
      <c r="L283" s="21" t="n"/>
      <c r="M283" s="25">
        <f>IF(OR($I283="",$L283=""),"",IF(AND($L283&lt;=TODAY(),$I283&lt;&gt;Settings!$G$14,$I283&lt;&gt;Settings!$G$15),"CALL TODAY",""))</f>
        <v/>
      </c>
      <c r="N283" s="22" t="n"/>
    </row>
    <row r="284">
      <c r="B284" s="21" t="n"/>
      <c r="C284" s="22" t="n"/>
      <c r="D284" s="22" t="n"/>
      <c r="E284" s="22" t="n"/>
      <c r="F284" s="22" t="n"/>
      <c r="G284" s="22" t="n"/>
      <c r="H284" s="23" t="n"/>
      <c r="I284" s="22" t="n"/>
      <c r="J284" s="24">
        <f>IF($I284="","",IFERROR(VLOOKUP($I284,Settings!$G$10:$H$15,2,FALSE),""))</f>
        <v/>
      </c>
      <c r="K284" s="18">
        <f>IF(OR($H284="",$J284=""),"",$H284*$J284)</f>
        <v/>
      </c>
      <c r="L284" s="21" t="n"/>
      <c r="M284" s="25">
        <f>IF(OR($I284="",$L284=""),"",IF(AND($L284&lt;=TODAY(),$I284&lt;&gt;Settings!$G$14,$I284&lt;&gt;Settings!$G$15),"CALL TODAY",""))</f>
        <v/>
      </c>
      <c r="N284" s="22" t="n"/>
    </row>
    <row r="285">
      <c r="B285" s="21" t="n"/>
      <c r="C285" s="22" t="n"/>
      <c r="D285" s="22" t="n"/>
      <c r="E285" s="22" t="n"/>
      <c r="F285" s="22" t="n"/>
      <c r="G285" s="22" t="n"/>
      <c r="H285" s="23" t="n"/>
      <c r="I285" s="22" t="n"/>
      <c r="J285" s="24">
        <f>IF($I285="","",IFERROR(VLOOKUP($I285,Settings!$G$10:$H$15,2,FALSE),""))</f>
        <v/>
      </c>
      <c r="K285" s="18">
        <f>IF(OR($H285="",$J285=""),"",$H285*$J285)</f>
        <v/>
      </c>
      <c r="L285" s="21" t="n"/>
      <c r="M285" s="25">
        <f>IF(OR($I285="",$L285=""),"",IF(AND($L285&lt;=TODAY(),$I285&lt;&gt;Settings!$G$14,$I285&lt;&gt;Settings!$G$15),"CALL TODAY",""))</f>
        <v/>
      </c>
      <c r="N285" s="22" t="n"/>
    </row>
    <row r="286">
      <c r="B286" s="21" t="n"/>
      <c r="C286" s="22" t="n"/>
      <c r="D286" s="22" t="n"/>
      <c r="E286" s="22" t="n"/>
      <c r="F286" s="22" t="n"/>
      <c r="G286" s="22" t="n"/>
      <c r="H286" s="23" t="n"/>
      <c r="I286" s="22" t="n"/>
      <c r="J286" s="24">
        <f>IF($I286="","",IFERROR(VLOOKUP($I286,Settings!$G$10:$H$15,2,FALSE),""))</f>
        <v/>
      </c>
      <c r="K286" s="18">
        <f>IF(OR($H286="",$J286=""),"",$H286*$J286)</f>
        <v/>
      </c>
      <c r="L286" s="21" t="n"/>
      <c r="M286" s="25">
        <f>IF(OR($I286="",$L286=""),"",IF(AND($L286&lt;=TODAY(),$I286&lt;&gt;Settings!$G$14,$I286&lt;&gt;Settings!$G$15),"CALL TODAY",""))</f>
        <v/>
      </c>
      <c r="N286" s="22" t="n"/>
    </row>
    <row r="287">
      <c r="B287" s="21" t="n"/>
      <c r="C287" s="22" t="n"/>
      <c r="D287" s="22" t="n"/>
      <c r="E287" s="22" t="n"/>
      <c r="F287" s="22" t="n"/>
      <c r="G287" s="22" t="n"/>
      <c r="H287" s="23" t="n"/>
      <c r="I287" s="22" t="n"/>
      <c r="J287" s="24">
        <f>IF($I287="","",IFERROR(VLOOKUP($I287,Settings!$G$10:$H$15,2,FALSE),""))</f>
        <v/>
      </c>
      <c r="K287" s="18">
        <f>IF(OR($H287="",$J287=""),"",$H287*$J287)</f>
        <v/>
      </c>
      <c r="L287" s="21" t="n"/>
      <c r="M287" s="25">
        <f>IF(OR($I287="",$L287=""),"",IF(AND($L287&lt;=TODAY(),$I287&lt;&gt;Settings!$G$14,$I287&lt;&gt;Settings!$G$15),"CALL TODAY",""))</f>
        <v/>
      </c>
      <c r="N287" s="22" t="n"/>
    </row>
    <row r="288">
      <c r="B288" s="21" t="n"/>
      <c r="C288" s="22" t="n"/>
      <c r="D288" s="22" t="n"/>
      <c r="E288" s="22" t="n"/>
      <c r="F288" s="22" t="n"/>
      <c r="G288" s="22" t="n"/>
      <c r="H288" s="23" t="n"/>
      <c r="I288" s="22" t="n"/>
      <c r="J288" s="24">
        <f>IF($I288="","",IFERROR(VLOOKUP($I288,Settings!$G$10:$H$15,2,FALSE),""))</f>
        <v/>
      </c>
      <c r="K288" s="18">
        <f>IF(OR($H288="",$J288=""),"",$H288*$J288)</f>
        <v/>
      </c>
      <c r="L288" s="21" t="n"/>
      <c r="M288" s="25">
        <f>IF(OR($I288="",$L288=""),"",IF(AND($L288&lt;=TODAY(),$I288&lt;&gt;Settings!$G$14,$I288&lt;&gt;Settings!$G$15),"CALL TODAY",""))</f>
        <v/>
      </c>
      <c r="N288" s="22" t="n"/>
    </row>
    <row r="289">
      <c r="B289" s="21" t="n"/>
      <c r="C289" s="22" t="n"/>
      <c r="D289" s="22" t="n"/>
      <c r="E289" s="22" t="n"/>
      <c r="F289" s="22" t="n"/>
      <c r="G289" s="22" t="n"/>
      <c r="H289" s="23" t="n"/>
      <c r="I289" s="22" t="n"/>
      <c r="J289" s="24">
        <f>IF($I289="","",IFERROR(VLOOKUP($I289,Settings!$G$10:$H$15,2,FALSE),""))</f>
        <v/>
      </c>
      <c r="K289" s="18">
        <f>IF(OR($H289="",$J289=""),"",$H289*$J289)</f>
        <v/>
      </c>
      <c r="L289" s="21" t="n"/>
      <c r="M289" s="25">
        <f>IF(OR($I289="",$L289=""),"",IF(AND($L289&lt;=TODAY(),$I289&lt;&gt;Settings!$G$14,$I289&lt;&gt;Settings!$G$15),"CALL TODAY",""))</f>
        <v/>
      </c>
      <c r="N289" s="22" t="n"/>
    </row>
    <row r="290">
      <c r="B290" s="21" t="n"/>
      <c r="C290" s="22" t="n"/>
      <c r="D290" s="22" t="n"/>
      <c r="E290" s="22" t="n"/>
      <c r="F290" s="22" t="n"/>
      <c r="G290" s="22" t="n"/>
      <c r="H290" s="23" t="n"/>
      <c r="I290" s="22" t="n"/>
      <c r="J290" s="24">
        <f>IF($I290="","",IFERROR(VLOOKUP($I290,Settings!$G$10:$H$15,2,FALSE),""))</f>
        <v/>
      </c>
      <c r="K290" s="18">
        <f>IF(OR($H290="",$J290=""),"",$H290*$J290)</f>
        <v/>
      </c>
      <c r="L290" s="21" t="n"/>
      <c r="M290" s="25">
        <f>IF(OR($I290="",$L290=""),"",IF(AND($L290&lt;=TODAY(),$I290&lt;&gt;Settings!$G$14,$I290&lt;&gt;Settings!$G$15),"CALL TODAY",""))</f>
        <v/>
      </c>
      <c r="N290" s="22" t="n"/>
    </row>
    <row r="291">
      <c r="B291" s="21" t="n"/>
      <c r="C291" s="22" t="n"/>
      <c r="D291" s="22" t="n"/>
      <c r="E291" s="22" t="n"/>
      <c r="F291" s="22" t="n"/>
      <c r="G291" s="22" t="n"/>
      <c r="H291" s="23" t="n"/>
      <c r="I291" s="22" t="n"/>
      <c r="J291" s="24">
        <f>IF($I291="","",IFERROR(VLOOKUP($I291,Settings!$G$10:$H$15,2,FALSE),""))</f>
        <v/>
      </c>
      <c r="K291" s="18">
        <f>IF(OR($H291="",$J291=""),"",$H291*$J291)</f>
        <v/>
      </c>
      <c r="L291" s="21" t="n"/>
      <c r="M291" s="25">
        <f>IF(OR($I291="",$L291=""),"",IF(AND($L291&lt;=TODAY(),$I291&lt;&gt;Settings!$G$14,$I291&lt;&gt;Settings!$G$15),"CALL TODAY",""))</f>
        <v/>
      </c>
      <c r="N291" s="22" t="n"/>
    </row>
    <row r="292">
      <c r="B292" s="21" t="n"/>
      <c r="C292" s="22" t="n"/>
      <c r="D292" s="22" t="n"/>
      <c r="E292" s="22" t="n"/>
      <c r="F292" s="22" t="n"/>
      <c r="G292" s="22" t="n"/>
      <c r="H292" s="23" t="n"/>
      <c r="I292" s="22" t="n"/>
      <c r="J292" s="24">
        <f>IF($I292="","",IFERROR(VLOOKUP($I292,Settings!$G$10:$H$15,2,FALSE),""))</f>
        <v/>
      </c>
      <c r="K292" s="18">
        <f>IF(OR($H292="",$J292=""),"",$H292*$J292)</f>
        <v/>
      </c>
      <c r="L292" s="21" t="n"/>
      <c r="M292" s="25">
        <f>IF(OR($I292="",$L292=""),"",IF(AND($L292&lt;=TODAY(),$I292&lt;&gt;Settings!$G$14,$I292&lt;&gt;Settings!$G$15),"CALL TODAY",""))</f>
        <v/>
      </c>
      <c r="N292" s="22" t="n"/>
    </row>
    <row r="293">
      <c r="B293" s="21" t="n"/>
      <c r="C293" s="22" t="n"/>
      <c r="D293" s="22" t="n"/>
      <c r="E293" s="22" t="n"/>
      <c r="F293" s="22" t="n"/>
      <c r="G293" s="22" t="n"/>
      <c r="H293" s="23" t="n"/>
      <c r="I293" s="22" t="n"/>
      <c r="J293" s="24">
        <f>IF($I293="","",IFERROR(VLOOKUP($I293,Settings!$G$10:$H$15,2,FALSE),""))</f>
        <v/>
      </c>
      <c r="K293" s="18">
        <f>IF(OR($H293="",$J293=""),"",$H293*$J293)</f>
        <v/>
      </c>
      <c r="L293" s="21" t="n"/>
      <c r="M293" s="25">
        <f>IF(OR($I293="",$L293=""),"",IF(AND($L293&lt;=TODAY(),$I293&lt;&gt;Settings!$G$14,$I293&lt;&gt;Settings!$G$15),"CALL TODAY",""))</f>
        <v/>
      </c>
      <c r="N293" s="22" t="n"/>
    </row>
    <row r="294">
      <c r="B294" s="21" t="n"/>
      <c r="C294" s="22" t="n"/>
      <c r="D294" s="22" t="n"/>
      <c r="E294" s="22" t="n"/>
      <c r="F294" s="22" t="n"/>
      <c r="G294" s="22" t="n"/>
      <c r="H294" s="23" t="n"/>
      <c r="I294" s="22" t="n"/>
      <c r="J294" s="24">
        <f>IF($I294="","",IFERROR(VLOOKUP($I294,Settings!$G$10:$H$15,2,FALSE),""))</f>
        <v/>
      </c>
      <c r="K294" s="18">
        <f>IF(OR($H294="",$J294=""),"",$H294*$J294)</f>
        <v/>
      </c>
      <c r="L294" s="21" t="n"/>
      <c r="M294" s="25">
        <f>IF(OR($I294="",$L294=""),"",IF(AND($L294&lt;=TODAY(),$I294&lt;&gt;Settings!$G$14,$I294&lt;&gt;Settings!$G$15),"CALL TODAY",""))</f>
        <v/>
      </c>
      <c r="N294" s="22" t="n"/>
    </row>
    <row r="295">
      <c r="B295" s="21" t="n"/>
      <c r="C295" s="22" t="n"/>
      <c r="D295" s="22" t="n"/>
      <c r="E295" s="22" t="n"/>
      <c r="F295" s="22" t="n"/>
      <c r="G295" s="22" t="n"/>
      <c r="H295" s="23" t="n"/>
      <c r="I295" s="22" t="n"/>
      <c r="J295" s="24">
        <f>IF($I295="","",IFERROR(VLOOKUP($I295,Settings!$G$10:$H$15,2,FALSE),""))</f>
        <v/>
      </c>
      <c r="K295" s="18">
        <f>IF(OR($H295="",$J295=""),"",$H295*$J295)</f>
        <v/>
      </c>
      <c r="L295" s="21" t="n"/>
      <c r="M295" s="25">
        <f>IF(OR($I295="",$L295=""),"",IF(AND($L295&lt;=TODAY(),$I295&lt;&gt;Settings!$G$14,$I295&lt;&gt;Settings!$G$15),"CALL TODAY",""))</f>
        <v/>
      </c>
      <c r="N295" s="22" t="n"/>
    </row>
    <row r="296">
      <c r="B296" s="21" t="n"/>
      <c r="C296" s="22" t="n"/>
      <c r="D296" s="22" t="n"/>
      <c r="E296" s="22" t="n"/>
      <c r="F296" s="22" t="n"/>
      <c r="G296" s="22" t="n"/>
      <c r="H296" s="23" t="n"/>
      <c r="I296" s="22" t="n"/>
      <c r="J296" s="24">
        <f>IF($I296="","",IFERROR(VLOOKUP($I296,Settings!$G$10:$H$15,2,FALSE),""))</f>
        <v/>
      </c>
      <c r="K296" s="18">
        <f>IF(OR($H296="",$J296=""),"",$H296*$J296)</f>
        <v/>
      </c>
      <c r="L296" s="21" t="n"/>
      <c r="M296" s="25">
        <f>IF(OR($I296="",$L296=""),"",IF(AND($L296&lt;=TODAY(),$I296&lt;&gt;Settings!$G$14,$I296&lt;&gt;Settings!$G$15),"CALL TODAY",""))</f>
        <v/>
      </c>
      <c r="N296" s="22" t="n"/>
    </row>
    <row r="297">
      <c r="B297" s="21" t="n"/>
      <c r="C297" s="22" t="n"/>
      <c r="D297" s="22" t="n"/>
      <c r="E297" s="22" t="n"/>
      <c r="F297" s="22" t="n"/>
      <c r="G297" s="22" t="n"/>
      <c r="H297" s="23" t="n"/>
      <c r="I297" s="22" t="n"/>
      <c r="J297" s="24">
        <f>IF($I297="","",IFERROR(VLOOKUP($I297,Settings!$G$10:$H$15,2,FALSE),""))</f>
        <v/>
      </c>
      <c r="K297" s="18">
        <f>IF(OR($H297="",$J297=""),"",$H297*$J297)</f>
        <v/>
      </c>
      <c r="L297" s="21" t="n"/>
      <c r="M297" s="25">
        <f>IF(OR($I297="",$L297=""),"",IF(AND($L297&lt;=TODAY(),$I297&lt;&gt;Settings!$G$14,$I297&lt;&gt;Settings!$G$15),"CALL TODAY",""))</f>
        <v/>
      </c>
      <c r="N297" s="22" t="n"/>
    </row>
    <row r="298">
      <c r="B298" s="21" t="n"/>
      <c r="C298" s="22" t="n"/>
      <c r="D298" s="22" t="n"/>
      <c r="E298" s="22" t="n"/>
      <c r="F298" s="22" t="n"/>
      <c r="G298" s="22" t="n"/>
      <c r="H298" s="23" t="n"/>
      <c r="I298" s="22" t="n"/>
      <c r="J298" s="24">
        <f>IF($I298="","",IFERROR(VLOOKUP($I298,Settings!$G$10:$H$15,2,FALSE),""))</f>
        <v/>
      </c>
      <c r="K298" s="18">
        <f>IF(OR($H298="",$J298=""),"",$H298*$J298)</f>
        <v/>
      </c>
      <c r="L298" s="21" t="n"/>
      <c r="M298" s="25">
        <f>IF(OR($I298="",$L298=""),"",IF(AND($L298&lt;=TODAY(),$I298&lt;&gt;Settings!$G$14,$I298&lt;&gt;Settings!$G$15),"CALL TODAY",""))</f>
        <v/>
      </c>
      <c r="N298" s="22" t="n"/>
    </row>
    <row r="299">
      <c r="B299" s="21" t="n"/>
      <c r="C299" s="22" t="n"/>
      <c r="D299" s="22" t="n"/>
      <c r="E299" s="22" t="n"/>
      <c r="F299" s="22" t="n"/>
      <c r="G299" s="22" t="n"/>
      <c r="H299" s="23" t="n"/>
      <c r="I299" s="22" t="n"/>
      <c r="J299" s="24">
        <f>IF($I299="","",IFERROR(VLOOKUP($I299,Settings!$G$10:$H$15,2,FALSE),""))</f>
        <v/>
      </c>
      <c r="K299" s="18">
        <f>IF(OR($H299="",$J299=""),"",$H299*$J299)</f>
        <v/>
      </c>
      <c r="L299" s="21" t="n"/>
      <c r="M299" s="25">
        <f>IF(OR($I299="",$L299=""),"",IF(AND($L299&lt;=TODAY(),$I299&lt;&gt;Settings!$G$14,$I299&lt;&gt;Settings!$G$15),"CALL TODAY",""))</f>
        <v/>
      </c>
      <c r="N299" s="22" t="n"/>
    </row>
    <row r="300">
      <c r="B300" s="21" t="n"/>
      <c r="C300" s="22" t="n"/>
      <c r="D300" s="22" t="n"/>
      <c r="E300" s="22" t="n"/>
      <c r="F300" s="22" t="n"/>
      <c r="G300" s="22" t="n"/>
      <c r="H300" s="23" t="n"/>
      <c r="I300" s="22" t="n"/>
      <c r="J300" s="24">
        <f>IF($I300="","",IFERROR(VLOOKUP($I300,Settings!$G$10:$H$15,2,FALSE),""))</f>
        <v/>
      </c>
      <c r="K300" s="18">
        <f>IF(OR($H300="",$J300=""),"",$H300*$J300)</f>
        <v/>
      </c>
      <c r="L300" s="21" t="n"/>
      <c r="M300" s="25">
        <f>IF(OR($I300="",$L300=""),"",IF(AND($L300&lt;=TODAY(),$I300&lt;&gt;Settings!$G$14,$I300&lt;&gt;Settings!$G$15),"CALL TODAY",""))</f>
        <v/>
      </c>
      <c r="N300" s="22" t="n"/>
    </row>
    <row r="301">
      <c r="B301" s="21" t="n"/>
      <c r="C301" s="22" t="n"/>
      <c r="D301" s="22" t="n"/>
      <c r="E301" s="22" t="n"/>
      <c r="F301" s="22" t="n"/>
      <c r="G301" s="22" t="n"/>
      <c r="H301" s="23" t="n"/>
      <c r="I301" s="22" t="n"/>
      <c r="J301" s="24">
        <f>IF($I301="","",IFERROR(VLOOKUP($I301,Settings!$G$10:$H$15,2,FALSE),""))</f>
        <v/>
      </c>
      <c r="K301" s="18">
        <f>IF(OR($H301="",$J301=""),"",$H301*$J301)</f>
        <v/>
      </c>
      <c r="L301" s="21" t="n"/>
      <c r="M301" s="25">
        <f>IF(OR($I301="",$L301=""),"",IF(AND($L301&lt;=TODAY(),$I301&lt;&gt;Settings!$G$14,$I301&lt;&gt;Settings!$G$15),"CALL TODAY",""))</f>
        <v/>
      </c>
      <c r="N301" s="22" t="n"/>
    </row>
    <row r="302">
      <c r="B302" s="21" t="n"/>
      <c r="C302" s="22" t="n"/>
      <c r="D302" s="22" t="n"/>
      <c r="E302" s="22" t="n"/>
      <c r="F302" s="22" t="n"/>
      <c r="G302" s="22" t="n"/>
      <c r="H302" s="23" t="n"/>
      <c r="I302" s="22" t="n"/>
      <c r="J302" s="24">
        <f>IF($I302="","",IFERROR(VLOOKUP($I302,Settings!$G$10:$H$15,2,FALSE),""))</f>
        <v/>
      </c>
      <c r="K302" s="18">
        <f>IF(OR($H302="",$J302=""),"",$H302*$J302)</f>
        <v/>
      </c>
      <c r="L302" s="21" t="n"/>
      <c r="M302" s="25">
        <f>IF(OR($I302="",$L302=""),"",IF(AND($L302&lt;=TODAY(),$I302&lt;&gt;Settings!$G$14,$I302&lt;&gt;Settings!$G$15),"CALL TODAY",""))</f>
        <v/>
      </c>
      <c r="N302" s="22" t="n"/>
    </row>
    <row r="303">
      <c r="B303" s="21" t="n"/>
      <c r="C303" s="22" t="n"/>
      <c r="D303" s="22" t="n"/>
      <c r="E303" s="22" t="n"/>
      <c r="F303" s="22" t="n"/>
      <c r="G303" s="22" t="n"/>
      <c r="H303" s="23" t="n"/>
      <c r="I303" s="22" t="n"/>
      <c r="J303" s="24">
        <f>IF($I303="","",IFERROR(VLOOKUP($I303,Settings!$G$10:$H$15,2,FALSE),""))</f>
        <v/>
      </c>
      <c r="K303" s="18">
        <f>IF(OR($H303="",$J303=""),"",$H303*$J303)</f>
        <v/>
      </c>
      <c r="L303" s="21" t="n"/>
      <c r="M303" s="25">
        <f>IF(OR($I303="",$L303=""),"",IF(AND($L303&lt;=TODAY(),$I303&lt;&gt;Settings!$G$14,$I303&lt;&gt;Settings!$G$15),"CALL TODAY",""))</f>
        <v/>
      </c>
      <c r="N303" s="22" t="n"/>
    </row>
    <row r="304">
      <c r="B304" s="21" t="n"/>
      <c r="C304" s="22" t="n"/>
      <c r="D304" s="22" t="n"/>
      <c r="E304" s="22" t="n"/>
      <c r="F304" s="22" t="n"/>
      <c r="G304" s="22" t="n"/>
      <c r="H304" s="23" t="n"/>
      <c r="I304" s="22" t="n"/>
      <c r="J304" s="24">
        <f>IF($I304="","",IFERROR(VLOOKUP($I304,Settings!$G$10:$H$15,2,FALSE),""))</f>
        <v/>
      </c>
      <c r="K304" s="18">
        <f>IF(OR($H304="",$J304=""),"",$H304*$J304)</f>
        <v/>
      </c>
      <c r="L304" s="21" t="n"/>
      <c r="M304" s="25">
        <f>IF(OR($I304="",$L304=""),"",IF(AND($L304&lt;=TODAY(),$I304&lt;&gt;Settings!$G$14,$I304&lt;&gt;Settings!$G$15),"CALL TODAY",""))</f>
        <v/>
      </c>
      <c r="N304" s="22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B4:N304"/>
  <mergeCells count="2">
    <mergeCell ref="B3:N3"/>
    <mergeCell ref="B2:N2"/>
  </mergeCells>
  <dataValidations count="3">
    <dataValidation sqref="E5:E304" showDropDown="0" showInputMessage="0" showErrorMessage="0" allowBlank="1" type="list">
      <formula1>Settings!$C$10:$C$13</formula1>
    </dataValidation>
    <dataValidation sqref="F5:F304" showDropDown="0" showInputMessage="0" showErrorMessage="0" allowBlank="1" type="list">
      <formula1>Settings!$E$10:$E$15</formula1>
    </dataValidation>
    <dataValidation sqref="I5:I304" showDropDown="0" showInputMessage="0" showErrorMessage="0" allowBlank="1" type="list">
      <formula1>Settings!$G$10:$G$15</formula1>
    </dataValidation>
  </dataValidations>
  <hyperlinks>
    <hyperlink ref="B1" location="'Start Here'!A1"/>
    <hyperlink ref="D1" location="'Dashboard'!A1"/>
    <hyperlink ref="F1" location="'Pipeline'!A1"/>
    <hyperlink ref="H1" location="'Jobs'!A1"/>
    <hyperlink ref="J1" location="'Invoices'!A1"/>
    <hyperlink ref="L1" location="'Settings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24" customWidth="1" min="3" max="3"/>
    <col width="13" customWidth="1" min="4" max="4"/>
    <col width="13" customWidth="1" min="5" max="5"/>
    <col width="13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30" customWidth="1" min="12" max="12"/>
  </cols>
  <sheetData>
    <row r="1" ht="15" customHeight="1">
      <c r="B1" s="2" t="inlineStr">
        <is>
          <t>Start</t>
        </is>
      </c>
      <c r="D1" s="2" t="inlineStr">
        <is>
          <t>Dashboard</t>
        </is>
      </c>
      <c r="F1" s="2" t="inlineStr">
        <is>
          <t>Pipeline</t>
        </is>
      </c>
      <c r="H1" s="1" t="inlineStr">
        <is>
          <t>Jobs</t>
        </is>
      </c>
      <c r="J1" s="2" t="inlineStr">
        <is>
          <t>Invoices</t>
        </is>
      </c>
      <c r="L1" s="2" t="inlineStr">
        <is>
          <t>Settings</t>
        </is>
      </c>
    </row>
    <row r="2" ht="24" customHeight="1">
      <c r="B2" s="11" t="inlineStr">
        <is>
          <t xml:space="preserve">  JOBS — won work only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16" customHeight="1">
      <c r="B3" s="5" t="inlineStr">
        <is>
          <t xml:space="preserve">  Job ref and margin fill themselves. Type the rest.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B4" s="20" t="inlineStr">
        <is>
          <t>Job ref</t>
        </is>
      </c>
      <c r="C4" s="20" t="inlineStr">
        <is>
          <t>Client</t>
        </is>
      </c>
      <c r="D4" s="20" t="inlineStr">
        <is>
          <t>Business line</t>
        </is>
      </c>
      <c r="E4" s="20" t="inlineStr">
        <is>
          <t>Value AED</t>
        </is>
      </c>
      <c r="F4" s="20" t="inlineStr">
        <is>
          <t>Est. cost AED</t>
        </is>
      </c>
      <c r="G4" s="20" t="inlineStr">
        <is>
          <t>Margin AED</t>
        </is>
      </c>
      <c r="H4" s="20" t="inlineStr">
        <is>
          <t>Margin %</t>
        </is>
      </c>
      <c r="I4" s="20" t="inlineStr">
        <is>
          <t>Status</t>
        </is>
      </c>
      <c r="J4" s="20" t="inlineStr">
        <is>
          <t>Start date</t>
        </is>
      </c>
      <c r="K4" s="20" t="inlineStr">
        <is>
          <t>Handover date</t>
        </is>
      </c>
      <c r="L4" s="20" t="inlineStr">
        <is>
          <t>Notes</t>
        </is>
      </c>
    </row>
    <row r="5">
      <c r="B5" s="26">
        <f>IF($C5="","","RS-"&amp;TEXT(ROW()-4,"000"))</f>
        <v/>
      </c>
      <c r="C5" s="22" t="inlineStr">
        <is>
          <t>Kaya Beach Restaurant</t>
        </is>
      </c>
      <c r="D5" s="22" t="inlineStr">
        <is>
          <t>Signage</t>
        </is>
      </c>
      <c r="E5" s="23" t="n">
        <v>21000</v>
      </c>
      <c r="F5" s="23" t="n">
        <v>12600</v>
      </c>
      <c r="G5" s="18">
        <f>IF(OR($E5="",$F5=""),"",$E5-$F5)</f>
        <v/>
      </c>
      <c r="H5" s="24">
        <f>IF(OR($E5="",$E5=0,$G5=""),"",$G5/$E5)</f>
        <v/>
      </c>
      <c r="I5" s="22" t="inlineStr">
        <is>
          <t>In progress</t>
        </is>
      </c>
      <c r="J5" s="21" t="n">
        <v>46195</v>
      </c>
      <c r="K5" s="21" t="n">
        <v>46218</v>
      </c>
      <c r="L5" s="22" t="inlineStr">
        <is>
          <t>Fascia fabrication underway</t>
        </is>
      </c>
    </row>
    <row r="6">
      <c r="B6" s="26">
        <f>IF($C6="","","RS-"&amp;TEXT(ROW()-4,"000"))</f>
        <v/>
      </c>
      <c r="C6" s="22" t="inlineStr">
        <is>
          <t>Emirates Hills Villa 27</t>
        </is>
      </c>
      <c r="D6" s="22" t="inlineStr">
        <is>
          <t>Fitout</t>
        </is>
      </c>
      <c r="E6" s="23" t="n">
        <v>140000</v>
      </c>
      <c r="F6" s="23" t="n">
        <v>98000</v>
      </c>
      <c r="G6" s="18">
        <f>IF(OR($E6="",$F6=""),"",$E6-$F6)</f>
        <v/>
      </c>
      <c r="H6" s="24">
        <f>IF(OR($E6="",$E6=0,$G6=""),"",$G6/$E6)</f>
        <v/>
      </c>
      <c r="I6" s="22" t="inlineStr">
        <is>
          <t>In progress</t>
        </is>
      </c>
      <c r="J6" s="21" t="n">
        <v>46174</v>
      </c>
      <c r="K6" s="21" t="n">
        <v>46254</v>
      </c>
      <c r="L6" s="22" t="inlineStr">
        <is>
          <t>Majlis + garden room</t>
        </is>
      </c>
    </row>
    <row r="7">
      <c r="B7" s="26">
        <f>IF($C7="","","RS-"&amp;TEXT(ROW()-4,"000"))</f>
        <v/>
      </c>
      <c r="C7" s="22" t="inlineStr">
        <is>
          <t>Blue Pearl Spa</t>
        </is>
      </c>
      <c r="D7" s="22" t="inlineStr">
        <is>
          <t>Neon</t>
        </is>
      </c>
      <c r="E7" s="23" t="n">
        <v>9500</v>
      </c>
      <c r="F7" s="23" t="n">
        <v>4700</v>
      </c>
      <c r="G7" s="18">
        <f>IF(OR($E7="",$F7=""),"",$E7-$F7)</f>
        <v/>
      </c>
      <c r="H7" s="24">
        <f>IF(OR($E7="",$E7=0,$G7=""),"",$G7/$E7)</f>
        <v/>
      </c>
      <c r="I7" s="22" t="inlineStr">
        <is>
          <t>Done</t>
        </is>
      </c>
      <c r="J7" s="21" t="n">
        <v>46147</v>
      </c>
      <c r="K7" s="21" t="n">
        <v>46162</v>
      </c>
      <c r="L7" s="22" t="inlineStr">
        <is>
          <t>Handed over, client happy</t>
        </is>
      </c>
    </row>
    <row r="8">
      <c r="B8" s="26">
        <f>IF($C8="","","RS-"&amp;TEXT(ROW()-4,"000"))</f>
        <v/>
      </c>
      <c r="C8" s="22" t="inlineStr">
        <is>
          <t>Zaitoon Grill House</t>
        </is>
      </c>
      <c r="D8" s="22" t="inlineStr">
        <is>
          <t>Signage</t>
        </is>
      </c>
      <c r="E8" s="23" t="n">
        <v>27500</v>
      </c>
      <c r="F8" s="23" t="n">
        <v>16200</v>
      </c>
      <c r="G8" s="18">
        <f>IF(OR($E8="",$F8=""),"",$E8-$F8)</f>
        <v/>
      </c>
      <c r="H8" s="24">
        <f>IF(OR($E8="",$E8=0,$G8=""),"",$G8/$E8)</f>
        <v/>
      </c>
      <c r="I8" s="22" t="inlineStr">
        <is>
          <t>Done</t>
        </is>
      </c>
      <c r="J8" s="21" t="n">
        <v>46122</v>
      </c>
      <c r="K8" s="21" t="n">
        <v>46147</v>
      </c>
      <c r="L8" s="22" t="inlineStr">
        <is>
          <t>Fascia + interior menu boards</t>
        </is>
      </c>
    </row>
    <row r="9">
      <c r="B9" s="26">
        <f>IF($C9="","","RS-"&amp;TEXT(ROW()-4,"000"))</f>
        <v/>
      </c>
      <c r="C9" s="22" t="inlineStr">
        <is>
          <t>Coral Bay Dental</t>
        </is>
      </c>
      <c r="D9" s="22" t="inlineStr">
        <is>
          <t>Website</t>
        </is>
      </c>
      <c r="E9" s="23" t="n">
        <v>5800</v>
      </c>
      <c r="F9" s="23" t="n">
        <v>1200</v>
      </c>
      <c r="G9" s="18">
        <f>IF(OR($E9="",$F9=""),"",$E9-$F9)</f>
        <v/>
      </c>
      <c r="H9" s="24">
        <f>IF(OR($E9="",$E9=0,$G9=""),"",$G9/$E9)</f>
        <v/>
      </c>
      <c r="I9" s="22" t="inlineStr">
        <is>
          <t>In progress</t>
        </is>
      </c>
      <c r="J9" s="21" t="n">
        <v>46205</v>
      </c>
      <c r="K9" s="21" t="n">
        <v>46219</v>
      </c>
      <c r="L9" s="22" t="inlineStr">
        <is>
          <t>Content received</t>
        </is>
      </c>
    </row>
    <row r="10">
      <c r="B10" s="26">
        <f>IF($C10="","","RS-"&amp;TEXT(ROW()-4,"000"))</f>
        <v/>
      </c>
      <c r="C10" s="22" t="n"/>
      <c r="D10" s="22" t="n"/>
      <c r="E10" s="23" t="n"/>
      <c r="F10" s="23" t="n"/>
      <c r="G10" s="18">
        <f>IF(OR($E10="",$F10=""),"",$E10-$F10)</f>
        <v/>
      </c>
      <c r="H10" s="24">
        <f>IF(OR($E10="",$E10=0,$G10=""),"",$G10/$E10)</f>
        <v/>
      </c>
      <c r="I10" s="22" t="n"/>
      <c r="J10" s="21" t="n"/>
      <c r="K10" s="21" t="n"/>
      <c r="L10" s="22" t="n"/>
    </row>
    <row r="11">
      <c r="B11" s="26">
        <f>IF($C11="","","RS-"&amp;TEXT(ROW()-4,"000"))</f>
        <v/>
      </c>
      <c r="C11" s="22" t="n"/>
      <c r="D11" s="22" t="n"/>
      <c r="E11" s="23" t="n"/>
      <c r="F11" s="23" t="n"/>
      <c r="G11" s="18">
        <f>IF(OR($E11="",$F11=""),"",$E11-$F11)</f>
        <v/>
      </c>
      <c r="H11" s="24">
        <f>IF(OR($E11="",$E11=0,$G11=""),"",$G11/$E11)</f>
        <v/>
      </c>
      <c r="I11" s="22" t="n"/>
      <c r="J11" s="21" t="n"/>
      <c r="K11" s="21" t="n"/>
      <c r="L11" s="22" t="n"/>
    </row>
    <row r="12">
      <c r="B12" s="26">
        <f>IF($C12="","","RS-"&amp;TEXT(ROW()-4,"000"))</f>
        <v/>
      </c>
      <c r="C12" s="22" t="n"/>
      <c r="D12" s="22" t="n"/>
      <c r="E12" s="23" t="n"/>
      <c r="F12" s="23" t="n"/>
      <c r="G12" s="18">
        <f>IF(OR($E12="",$F12=""),"",$E12-$F12)</f>
        <v/>
      </c>
      <c r="H12" s="24">
        <f>IF(OR($E12="",$E12=0,$G12=""),"",$G12/$E12)</f>
        <v/>
      </c>
      <c r="I12" s="22" t="n"/>
      <c r="J12" s="21" t="n"/>
      <c r="K12" s="21" t="n"/>
      <c r="L12" s="22" t="n"/>
    </row>
    <row r="13">
      <c r="B13" s="26">
        <f>IF($C13="","","RS-"&amp;TEXT(ROW()-4,"000"))</f>
        <v/>
      </c>
      <c r="C13" s="22" t="n"/>
      <c r="D13" s="22" t="n"/>
      <c r="E13" s="23" t="n"/>
      <c r="F13" s="23" t="n"/>
      <c r="G13" s="18">
        <f>IF(OR($E13="",$F13=""),"",$E13-$F13)</f>
        <v/>
      </c>
      <c r="H13" s="24">
        <f>IF(OR($E13="",$E13=0,$G13=""),"",$G13/$E13)</f>
        <v/>
      </c>
      <c r="I13" s="22" t="n"/>
      <c r="J13" s="21" t="n"/>
      <c r="K13" s="21" t="n"/>
      <c r="L13" s="22" t="n"/>
    </row>
    <row r="14">
      <c r="B14" s="26">
        <f>IF($C14="","","RS-"&amp;TEXT(ROW()-4,"000"))</f>
        <v/>
      </c>
      <c r="C14" s="22" t="n"/>
      <c r="D14" s="22" t="n"/>
      <c r="E14" s="23" t="n"/>
      <c r="F14" s="23" t="n"/>
      <c r="G14" s="18">
        <f>IF(OR($E14="",$F14=""),"",$E14-$F14)</f>
        <v/>
      </c>
      <c r="H14" s="24">
        <f>IF(OR($E14="",$E14=0,$G14=""),"",$G14/$E14)</f>
        <v/>
      </c>
      <c r="I14" s="22" t="n"/>
      <c r="J14" s="21" t="n"/>
      <c r="K14" s="21" t="n"/>
      <c r="L14" s="22" t="n"/>
    </row>
    <row r="15">
      <c r="B15" s="26">
        <f>IF($C15="","","RS-"&amp;TEXT(ROW()-4,"000"))</f>
        <v/>
      </c>
      <c r="C15" s="22" t="n"/>
      <c r="D15" s="22" t="n"/>
      <c r="E15" s="23" t="n"/>
      <c r="F15" s="23" t="n"/>
      <c r="G15" s="18">
        <f>IF(OR($E15="",$F15=""),"",$E15-$F15)</f>
        <v/>
      </c>
      <c r="H15" s="24">
        <f>IF(OR($E15="",$E15=0,$G15=""),"",$G15/$E15)</f>
        <v/>
      </c>
      <c r="I15" s="22" t="n"/>
      <c r="J15" s="21" t="n"/>
      <c r="K15" s="21" t="n"/>
      <c r="L15" s="22" t="n"/>
    </row>
    <row r="16">
      <c r="B16" s="26">
        <f>IF($C16="","","RS-"&amp;TEXT(ROW()-4,"000"))</f>
        <v/>
      </c>
      <c r="C16" s="22" t="n"/>
      <c r="D16" s="22" t="n"/>
      <c r="E16" s="23" t="n"/>
      <c r="F16" s="23" t="n"/>
      <c r="G16" s="18">
        <f>IF(OR($E16="",$F16=""),"",$E16-$F16)</f>
        <v/>
      </c>
      <c r="H16" s="24">
        <f>IF(OR($E16="",$E16=0,$G16=""),"",$G16/$E16)</f>
        <v/>
      </c>
      <c r="I16" s="22" t="n"/>
      <c r="J16" s="21" t="n"/>
      <c r="K16" s="21" t="n"/>
      <c r="L16" s="22" t="n"/>
    </row>
    <row r="17">
      <c r="B17" s="26">
        <f>IF($C17="","","RS-"&amp;TEXT(ROW()-4,"000"))</f>
        <v/>
      </c>
      <c r="C17" s="22" t="n"/>
      <c r="D17" s="22" t="n"/>
      <c r="E17" s="23" t="n"/>
      <c r="F17" s="23" t="n"/>
      <c r="G17" s="18">
        <f>IF(OR($E17="",$F17=""),"",$E17-$F17)</f>
        <v/>
      </c>
      <c r="H17" s="24">
        <f>IF(OR($E17="",$E17=0,$G17=""),"",$G17/$E17)</f>
        <v/>
      </c>
      <c r="I17" s="22" t="n"/>
      <c r="J17" s="21" t="n"/>
      <c r="K17" s="21" t="n"/>
      <c r="L17" s="22" t="n"/>
    </row>
    <row r="18">
      <c r="B18" s="26">
        <f>IF($C18="","","RS-"&amp;TEXT(ROW()-4,"000"))</f>
        <v/>
      </c>
      <c r="C18" s="22" t="n"/>
      <c r="D18" s="22" t="n"/>
      <c r="E18" s="23" t="n"/>
      <c r="F18" s="23" t="n"/>
      <c r="G18" s="18">
        <f>IF(OR($E18="",$F18=""),"",$E18-$F18)</f>
        <v/>
      </c>
      <c r="H18" s="24">
        <f>IF(OR($E18="",$E18=0,$G18=""),"",$G18/$E18)</f>
        <v/>
      </c>
      <c r="I18" s="22" t="n"/>
      <c r="J18" s="21" t="n"/>
      <c r="K18" s="21" t="n"/>
      <c r="L18" s="22" t="n"/>
    </row>
    <row r="19">
      <c r="B19" s="26">
        <f>IF($C19="","","RS-"&amp;TEXT(ROW()-4,"000"))</f>
        <v/>
      </c>
      <c r="C19" s="22" t="n"/>
      <c r="D19" s="22" t="n"/>
      <c r="E19" s="23" t="n"/>
      <c r="F19" s="23" t="n"/>
      <c r="G19" s="18">
        <f>IF(OR($E19="",$F19=""),"",$E19-$F19)</f>
        <v/>
      </c>
      <c r="H19" s="24">
        <f>IF(OR($E19="",$E19=0,$G19=""),"",$G19/$E19)</f>
        <v/>
      </c>
      <c r="I19" s="22" t="n"/>
      <c r="J19" s="21" t="n"/>
      <c r="K19" s="21" t="n"/>
      <c r="L19" s="22" t="n"/>
    </row>
    <row r="20">
      <c r="B20" s="26">
        <f>IF($C20="","","RS-"&amp;TEXT(ROW()-4,"000"))</f>
        <v/>
      </c>
      <c r="C20" s="22" t="n"/>
      <c r="D20" s="22" t="n"/>
      <c r="E20" s="23" t="n"/>
      <c r="F20" s="23" t="n"/>
      <c r="G20" s="18">
        <f>IF(OR($E20="",$F20=""),"",$E20-$F20)</f>
        <v/>
      </c>
      <c r="H20" s="24">
        <f>IF(OR($E20="",$E20=0,$G20=""),"",$G20/$E20)</f>
        <v/>
      </c>
      <c r="I20" s="22" t="n"/>
      <c r="J20" s="21" t="n"/>
      <c r="K20" s="21" t="n"/>
      <c r="L20" s="22" t="n"/>
    </row>
    <row r="21">
      <c r="B21" s="26">
        <f>IF($C21="","","RS-"&amp;TEXT(ROW()-4,"000"))</f>
        <v/>
      </c>
      <c r="C21" s="22" t="n"/>
      <c r="D21" s="22" t="n"/>
      <c r="E21" s="23" t="n"/>
      <c r="F21" s="23" t="n"/>
      <c r="G21" s="18">
        <f>IF(OR($E21="",$F21=""),"",$E21-$F21)</f>
        <v/>
      </c>
      <c r="H21" s="24">
        <f>IF(OR($E21="",$E21=0,$G21=""),"",$G21/$E21)</f>
        <v/>
      </c>
      <c r="I21" s="22" t="n"/>
      <c r="J21" s="21" t="n"/>
      <c r="K21" s="21" t="n"/>
      <c r="L21" s="22" t="n"/>
    </row>
    <row r="22">
      <c r="B22" s="26">
        <f>IF($C22="","","RS-"&amp;TEXT(ROW()-4,"000"))</f>
        <v/>
      </c>
      <c r="C22" s="22" t="n"/>
      <c r="D22" s="22" t="n"/>
      <c r="E22" s="23" t="n"/>
      <c r="F22" s="23" t="n"/>
      <c r="G22" s="18">
        <f>IF(OR($E22="",$F22=""),"",$E22-$F22)</f>
        <v/>
      </c>
      <c r="H22" s="24">
        <f>IF(OR($E22="",$E22=0,$G22=""),"",$G22/$E22)</f>
        <v/>
      </c>
      <c r="I22" s="22" t="n"/>
      <c r="J22" s="21" t="n"/>
      <c r="K22" s="21" t="n"/>
      <c r="L22" s="22" t="n"/>
    </row>
    <row r="23">
      <c r="B23" s="26">
        <f>IF($C23="","","RS-"&amp;TEXT(ROW()-4,"000"))</f>
        <v/>
      </c>
      <c r="C23" s="22" t="n"/>
      <c r="D23" s="22" t="n"/>
      <c r="E23" s="23" t="n"/>
      <c r="F23" s="23" t="n"/>
      <c r="G23" s="18">
        <f>IF(OR($E23="",$F23=""),"",$E23-$F23)</f>
        <v/>
      </c>
      <c r="H23" s="24">
        <f>IF(OR($E23="",$E23=0,$G23=""),"",$G23/$E23)</f>
        <v/>
      </c>
      <c r="I23" s="22" t="n"/>
      <c r="J23" s="21" t="n"/>
      <c r="K23" s="21" t="n"/>
      <c r="L23" s="22" t="n"/>
    </row>
    <row r="24">
      <c r="B24" s="26">
        <f>IF($C24="","","RS-"&amp;TEXT(ROW()-4,"000"))</f>
        <v/>
      </c>
      <c r="C24" s="22" t="n"/>
      <c r="D24" s="22" t="n"/>
      <c r="E24" s="23" t="n"/>
      <c r="F24" s="23" t="n"/>
      <c r="G24" s="18">
        <f>IF(OR($E24="",$F24=""),"",$E24-$F24)</f>
        <v/>
      </c>
      <c r="H24" s="24">
        <f>IF(OR($E24="",$E24=0,$G24=""),"",$G24/$E24)</f>
        <v/>
      </c>
      <c r="I24" s="22" t="n"/>
      <c r="J24" s="21" t="n"/>
      <c r="K24" s="21" t="n"/>
      <c r="L24" s="22" t="n"/>
    </row>
    <row r="25">
      <c r="B25" s="26">
        <f>IF($C25="","","RS-"&amp;TEXT(ROW()-4,"000"))</f>
        <v/>
      </c>
      <c r="C25" s="22" t="n"/>
      <c r="D25" s="22" t="n"/>
      <c r="E25" s="23" t="n"/>
      <c r="F25" s="23" t="n"/>
      <c r="G25" s="18">
        <f>IF(OR($E25="",$F25=""),"",$E25-$F25)</f>
        <v/>
      </c>
      <c r="H25" s="24">
        <f>IF(OR($E25="",$E25=0,$G25=""),"",$G25/$E25)</f>
        <v/>
      </c>
      <c r="I25" s="22" t="n"/>
      <c r="J25" s="21" t="n"/>
      <c r="K25" s="21" t="n"/>
      <c r="L25" s="22" t="n"/>
    </row>
    <row r="26">
      <c r="B26" s="26">
        <f>IF($C26="","","RS-"&amp;TEXT(ROW()-4,"000"))</f>
        <v/>
      </c>
      <c r="C26" s="22" t="n"/>
      <c r="D26" s="22" t="n"/>
      <c r="E26" s="23" t="n"/>
      <c r="F26" s="23" t="n"/>
      <c r="G26" s="18">
        <f>IF(OR($E26="",$F26=""),"",$E26-$F26)</f>
        <v/>
      </c>
      <c r="H26" s="24">
        <f>IF(OR($E26="",$E26=0,$G26=""),"",$G26/$E26)</f>
        <v/>
      </c>
      <c r="I26" s="22" t="n"/>
      <c r="J26" s="21" t="n"/>
      <c r="K26" s="21" t="n"/>
      <c r="L26" s="22" t="n"/>
    </row>
    <row r="27">
      <c r="B27" s="26">
        <f>IF($C27="","","RS-"&amp;TEXT(ROW()-4,"000"))</f>
        <v/>
      </c>
      <c r="C27" s="22" t="n"/>
      <c r="D27" s="22" t="n"/>
      <c r="E27" s="23" t="n"/>
      <c r="F27" s="23" t="n"/>
      <c r="G27" s="18">
        <f>IF(OR($E27="",$F27=""),"",$E27-$F27)</f>
        <v/>
      </c>
      <c r="H27" s="24">
        <f>IF(OR($E27="",$E27=0,$G27=""),"",$G27/$E27)</f>
        <v/>
      </c>
      <c r="I27" s="22" t="n"/>
      <c r="J27" s="21" t="n"/>
      <c r="K27" s="21" t="n"/>
      <c r="L27" s="22" t="n"/>
    </row>
    <row r="28">
      <c r="B28" s="26">
        <f>IF($C28="","","RS-"&amp;TEXT(ROW()-4,"000"))</f>
        <v/>
      </c>
      <c r="C28" s="22" t="n"/>
      <c r="D28" s="22" t="n"/>
      <c r="E28" s="23" t="n"/>
      <c r="F28" s="23" t="n"/>
      <c r="G28" s="18">
        <f>IF(OR($E28="",$F28=""),"",$E28-$F28)</f>
        <v/>
      </c>
      <c r="H28" s="24">
        <f>IF(OR($E28="",$E28=0,$G28=""),"",$G28/$E28)</f>
        <v/>
      </c>
      <c r="I28" s="22" t="n"/>
      <c r="J28" s="21" t="n"/>
      <c r="K28" s="21" t="n"/>
      <c r="L28" s="22" t="n"/>
    </row>
    <row r="29">
      <c r="B29" s="26">
        <f>IF($C29="","","RS-"&amp;TEXT(ROW()-4,"000"))</f>
        <v/>
      </c>
      <c r="C29" s="22" t="n"/>
      <c r="D29" s="22" t="n"/>
      <c r="E29" s="23" t="n"/>
      <c r="F29" s="23" t="n"/>
      <c r="G29" s="18">
        <f>IF(OR($E29="",$F29=""),"",$E29-$F29)</f>
        <v/>
      </c>
      <c r="H29" s="24">
        <f>IF(OR($E29="",$E29=0,$G29=""),"",$G29/$E29)</f>
        <v/>
      </c>
      <c r="I29" s="22" t="n"/>
      <c r="J29" s="21" t="n"/>
      <c r="K29" s="21" t="n"/>
      <c r="L29" s="22" t="n"/>
    </row>
    <row r="30">
      <c r="B30" s="26">
        <f>IF($C30="","","RS-"&amp;TEXT(ROW()-4,"000"))</f>
        <v/>
      </c>
      <c r="C30" s="22" t="n"/>
      <c r="D30" s="22" t="n"/>
      <c r="E30" s="23" t="n"/>
      <c r="F30" s="23" t="n"/>
      <c r="G30" s="18">
        <f>IF(OR($E30="",$F30=""),"",$E30-$F30)</f>
        <v/>
      </c>
      <c r="H30" s="24">
        <f>IF(OR($E30="",$E30=0,$G30=""),"",$G30/$E30)</f>
        <v/>
      </c>
      <c r="I30" s="22" t="n"/>
      <c r="J30" s="21" t="n"/>
      <c r="K30" s="21" t="n"/>
      <c r="L30" s="22" t="n"/>
    </row>
    <row r="31">
      <c r="B31" s="26">
        <f>IF($C31="","","RS-"&amp;TEXT(ROW()-4,"000"))</f>
        <v/>
      </c>
      <c r="C31" s="22" t="n"/>
      <c r="D31" s="22" t="n"/>
      <c r="E31" s="23" t="n"/>
      <c r="F31" s="23" t="n"/>
      <c r="G31" s="18">
        <f>IF(OR($E31="",$F31=""),"",$E31-$F31)</f>
        <v/>
      </c>
      <c r="H31" s="24">
        <f>IF(OR($E31="",$E31=0,$G31=""),"",$G31/$E31)</f>
        <v/>
      </c>
      <c r="I31" s="22" t="n"/>
      <c r="J31" s="21" t="n"/>
      <c r="K31" s="21" t="n"/>
      <c r="L31" s="22" t="n"/>
    </row>
    <row r="32">
      <c r="B32" s="26">
        <f>IF($C32="","","RS-"&amp;TEXT(ROW()-4,"000"))</f>
        <v/>
      </c>
      <c r="C32" s="22" t="n"/>
      <c r="D32" s="22" t="n"/>
      <c r="E32" s="23" t="n"/>
      <c r="F32" s="23" t="n"/>
      <c r="G32" s="18">
        <f>IF(OR($E32="",$F32=""),"",$E32-$F32)</f>
        <v/>
      </c>
      <c r="H32" s="24">
        <f>IF(OR($E32="",$E32=0,$G32=""),"",$G32/$E32)</f>
        <v/>
      </c>
      <c r="I32" s="22" t="n"/>
      <c r="J32" s="21" t="n"/>
      <c r="K32" s="21" t="n"/>
      <c r="L32" s="22" t="n"/>
    </row>
    <row r="33">
      <c r="B33" s="26">
        <f>IF($C33="","","RS-"&amp;TEXT(ROW()-4,"000"))</f>
        <v/>
      </c>
      <c r="C33" s="22" t="n"/>
      <c r="D33" s="22" t="n"/>
      <c r="E33" s="23" t="n"/>
      <c r="F33" s="23" t="n"/>
      <c r="G33" s="18">
        <f>IF(OR($E33="",$F33=""),"",$E33-$F33)</f>
        <v/>
      </c>
      <c r="H33" s="24">
        <f>IF(OR($E33="",$E33=0,$G33=""),"",$G33/$E33)</f>
        <v/>
      </c>
      <c r="I33" s="22" t="n"/>
      <c r="J33" s="21" t="n"/>
      <c r="K33" s="21" t="n"/>
      <c r="L33" s="22" t="n"/>
    </row>
    <row r="34">
      <c r="B34" s="26">
        <f>IF($C34="","","RS-"&amp;TEXT(ROW()-4,"000"))</f>
        <v/>
      </c>
      <c r="C34" s="22" t="n"/>
      <c r="D34" s="22" t="n"/>
      <c r="E34" s="23" t="n"/>
      <c r="F34" s="23" t="n"/>
      <c r="G34" s="18">
        <f>IF(OR($E34="",$F34=""),"",$E34-$F34)</f>
        <v/>
      </c>
      <c r="H34" s="24">
        <f>IF(OR($E34="",$E34=0,$G34=""),"",$G34/$E34)</f>
        <v/>
      </c>
      <c r="I34" s="22" t="n"/>
      <c r="J34" s="21" t="n"/>
      <c r="K34" s="21" t="n"/>
      <c r="L34" s="22" t="n"/>
    </row>
    <row r="35">
      <c r="B35" s="26">
        <f>IF($C35="","","RS-"&amp;TEXT(ROW()-4,"000"))</f>
        <v/>
      </c>
      <c r="C35" s="22" t="n"/>
      <c r="D35" s="22" t="n"/>
      <c r="E35" s="23" t="n"/>
      <c r="F35" s="23" t="n"/>
      <c r="G35" s="18">
        <f>IF(OR($E35="",$F35=""),"",$E35-$F35)</f>
        <v/>
      </c>
      <c r="H35" s="24">
        <f>IF(OR($E35="",$E35=0,$G35=""),"",$G35/$E35)</f>
        <v/>
      </c>
      <c r="I35" s="22" t="n"/>
      <c r="J35" s="21" t="n"/>
      <c r="K35" s="21" t="n"/>
      <c r="L35" s="22" t="n"/>
    </row>
    <row r="36">
      <c r="B36" s="26">
        <f>IF($C36="","","RS-"&amp;TEXT(ROW()-4,"000"))</f>
        <v/>
      </c>
      <c r="C36" s="22" t="n"/>
      <c r="D36" s="22" t="n"/>
      <c r="E36" s="23" t="n"/>
      <c r="F36" s="23" t="n"/>
      <c r="G36" s="18">
        <f>IF(OR($E36="",$F36=""),"",$E36-$F36)</f>
        <v/>
      </c>
      <c r="H36" s="24">
        <f>IF(OR($E36="",$E36=0,$G36=""),"",$G36/$E36)</f>
        <v/>
      </c>
      <c r="I36" s="22" t="n"/>
      <c r="J36" s="21" t="n"/>
      <c r="K36" s="21" t="n"/>
      <c r="L36" s="22" t="n"/>
    </row>
    <row r="37">
      <c r="B37" s="26">
        <f>IF($C37="","","RS-"&amp;TEXT(ROW()-4,"000"))</f>
        <v/>
      </c>
      <c r="C37" s="22" t="n"/>
      <c r="D37" s="22" t="n"/>
      <c r="E37" s="23" t="n"/>
      <c r="F37" s="23" t="n"/>
      <c r="G37" s="18">
        <f>IF(OR($E37="",$F37=""),"",$E37-$F37)</f>
        <v/>
      </c>
      <c r="H37" s="24">
        <f>IF(OR($E37="",$E37=0,$G37=""),"",$G37/$E37)</f>
        <v/>
      </c>
      <c r="I37" s="22" t="n"/>
      <c r="J37" s="21" t="n"/>
      <c r="K37" s="21" t="n"/>
      <c r="L37" s="22" t="n"/>
    </row>
    <row r="38">
      <c r="B38" s="26">
        <f>IF($C38="","","RS-"&amp;TEXT(ROW()-4,"000"))</f>
        <v/>
      </c>
      <c r="C38" s="22" t="n"/>
      <c r="D38" s="22" t="n"/>
      <c r="E38" s="23" t="n"/>
      <c r="F38" s="23" t="n"/>
      <c r="G38" s="18">
        <f>IF(OR($E38="",$F38=""),"",$E38-$F38)</f>
        <v/>
      </c>
      <c r="H38" s="24">
        <f>IF(OR($E38="",$E38=0,$G38=""),"",$G38/$E38)</f>
        <v/>
      </c>
      <c r="I38" s="22" t="n"/>
      <c r="J38" s="21" t="n"/>
      <c r="K38" s="21" t="n"/>
      <c r="L38" s="22" t="n"/>
    </row>
    <row r="39">
      <c r="B39" s="26">
        <f>IF($C39="","","RS-"&amp;TEXT(ROW()-4,"000"))</f>
        <v/>
      </c>
      <c r="C39" s="22" t="n"/>
      <c r="D39" s="22" t="n"/>
      <c r="E39" s="23" t="n"/>
      <c r="F39" s="23" t="n"/>
      <c r="G39" s="18">
        <f>IF(OR($E39="",$F39=""),"",$E39-$F39)</f>
        <v/>
      </c>
      <c r="H39" s="24">
        <f>IF(OR($E39="",$E39=0,$G39=""),"",$G39/$E39)</f>
        <v/>
      </c>
      <c r="I39" s="22" t="n"/>
      <c r="J39" s="21" t="n"/>
      <c r="K39" s="21" t="n"/>
      <c r="L39" s="22" t="n"/>
    </row>
    <row r="40">
      <c r="B40" s="26">
        <f>IF($C40="","","RS-"&amp;TEXT(ROW()-4,"000"))</f>
        <v/>
      </c>
      <c r="C40" s="22" t="n"/>
      <c r="D40" s="22" t="n"/>
      <c r="E40" s="23" t="n"/>
      <c r="F40" s="23" t="n"/>
      <c r="G40" s="18">
        <f>IF(OR($E40="",$F40=""),"",$E40-$F40)</f>
        <v/>
      </c>
      <c r="H40" s="24">
        <f>IF(OR($E40="",$E40=0,$G40=""),"",$G40/$E40)</f>
        <v/>
      </c>
      <c r="I40" s="22" t="n"/>
      <c r="J40" s="21" t="n"/>
      <c r="K40" s="21" t="n"/>
      <c r="L40" s="22" t="n"/>
    </row>
    <row r="41">
      <c r="B41" s="26">
        <f>IF($C41="","","RS-"&amp;TEXT(ROW()-4,"000"))</f>
        <v/>
      </c>
      <c r="C41" s="22" t="n"/>
      <c r="D41" s="22" t="n"/>
      <c r="E41" s="23" t="n"/>
      <c r="F41" s="23" t="n"/>
      <c r="G41" s="18">
        <f>IF(OR($E41="",$F41=""),"",$E41-$F41)</f>
        <v/>
      </c>
      <c r="H41" s="24">
        <f>IF(OR($E41="",$E41=0,$G41=""),"",$G41/$E41)</f>
        <v/>
      </c>
      <c r="I41" s="22" t="n"/>
      <c r="J41" s="21" t="n"/>
      <c r="K41" s="21" t="n"/>
      <c r="L41" s="22" t="n"/>
    </row>
    <row r="42">
      <c r="B42" s="26">
        <f>IF($C42="","","RS-"&amp;TEXT(ROW()-4,"000"))</f>
        <v/>
      </c>
      <c r="C42" s="22" t="n"/>
      <c r="D42" s="22" t="n"/>
      <c r="E42" s="23" t="n"/>
      <c r="F42" s="23" t="n"/>
      <c r="G42" s="18">
        <f>IF(OR($E42="",$F42=""),"",$E42-$F42)</f>
        <v/>
      </c>
      <c r="H42" s="24">
        <f>IF(OR($E42="",$E42=0,$G42=""),"",$G42/$E42)</f>
        <v/>
      </c>
      <c r="I42" s="22" t="n"/>
      <c r="J42" s="21" t="n"/>
      <c r="K42" s="21" t="n"/>
      <c r="L42" s="22" t="n"/>
    </row>
    <row r="43">
      <c r="B43" s="26">
        <f>IF($C43="","","RS-"&amp;TEXT(ROW()-4,"000"))</f>
        <v/>
      </c>
      <c r="C43" s="22" t="n"/>
      <c r="D43" s="22" t="n"/>
      <c r="E43" s="23" t="n"/>
      <c r="F43" s="23" t="n"/>
      <c r="G43" s="18">
        <f>IF(OR($E43="",$F43=""),"",$E43-$F43)</f>
        <v/>
      </c>
      <c r="H43" s="24">
        <f>IF(OR($E43="",$E43=0,$G43=""),"",$G43/$E43)</f>
        <v/>
      </c>
      <c r="I43" s="22" t="n"/>
      <c r="J43" s="21" t="n"/>
      <c r="K43" s="21" t="n"/>
      <c r="L43" s="22" t="n"/>
    </row>
    <row r="44">
      <c r="B44" s="26">
        <f>IF($C44="","","RS-"&amp;TEXT(ROW()-4,"000"))</f>
        <v/>
      </c>
      <c r="C44" s="22" t="n"/>
      <c r="D44" s="22" t="n"/>
      <c r="E44" s="23" t="n"/>
      <c r="F44" s="23" t="n"/>
      <c r="G44" s="18">
        <f>IF(OR($E44="",$F44=""),"",$E44-$F44)</f>
        <v/>
      </c>
      <c r="H44" s="24">
        <f>IF(OR($E44="",$E44=0,$G44=""),"",$G44/$E44)</f>
        <v/>
      </c>
      <c r="I44" s="22" t="n"/>
      <c r="J44" s="21" t="n"/>
      <c r="K44" s="21" t="n"/>
      <c r="L44" s="22" t="n"/>
    </row>
    <row r="45">
      <c r="B45" s="26">
        <f>IF($C45="","","RS-"&amp;TEXT(ROW()-4,"000"))</f>
        <v/>
      </c>
      <c r="C45" s="22" t="n"/>
      <c r="D45" s="22" t="n"/>
      <c r="E45" s="23" t="n"/>
      <c r="F45" s="23" t="n"/>
      <c r="G45" s="18">
        <f>IF(OR($E45="",$F45=""),"",$E45-$F45)</f>
        <v/>
      </c>
      <c r="H45" s="24">
        <f>IF(OR($E45="",$E45=0,$G45=""),"",$G45/$E45)</f>
        <v/>
      </c>
      <c r="I45" s="22" t="n"/>
      <c r="J45" s="21" t="n"/>
      <c r="K45" s="21" t="n"/>
      <c r="L45" s="22" t="n"/>
    </row>
    <row r="46">
      <c r="B46" s="26">
        <f>IF($C46="","","RS-"&amp;TEXT(ROW()-4,"000"))</f>
        <v/>
      </c>
      <c r="C46" s="22" t="n"/>
      <c r="D46" s="22" t="n"/>
      <c r="E46" s="23" t="n"/>
      <c r="F46" s="23" t="n"/>
      <c r="G46" s="18">
        <f>IF(OR($E46="",$F46=""),"",$E46-$F46)</f>
        <v/>
      </c>
      <c r="H46" s="24">
        <f>IF(OR($E46="",$E46=0,$G46=""),"",$G46/$E46)</f>
        <v/>
      </c>
      <c r="I46" s="22" t="n"/>
      <c r="J46" s="21" t="n"/>
      <c r="K46" s="21" t="n"/>
      <c r="L46" s="22" t="n"/>
    </row>
    <row r="47">
      <c r="B47" s="26">
        <f>IF($C47="","","RS-"&amp;TEXT(ROW()-4,"000"))</f>
        <v/>
      </c>
      <c r="C47" s="22" t="n"/>
      <c r="D47" s="22" t="n"/>
      <c r="E47" s="23" t="n"/>
      <c r="F47" s="23" t="n"/>
      <c r="G47" s="18">
        <f>IF(OR($E47="",$F47=""),"",$E47-$F47)</f>
        <v/>
      </c>
      <c r="H47" s="24">
        <f>IF(OR($E47="",$E47=0,$G47=""),"",$G47/$E47)</f>
        <v/>
      </c>
      <c r="I47" s="22" t="n"/>
      <c r="J47" s="21" t="n"/>
      <c r="K47" s="21" t="n"/>
      <c r="L47" s="22" t="n"/>
    </row>
    <row r="48">
      <c r="B48" s="26">
        <f>IF($C48="","","RS-"&amp;TEXT(ROW()-4,"000"))</f>
        <v/>
      </c>
      <c r="C48" s="22" t="n"/>
      <c r="D48" s="22" t="n"/>
      <c r="E48" s="23" t="n"/>
      <c r="F48" s="23" t="n"/>
      <c r="G48" s="18">
        <f>IF(OR($E48="",$F48=""),"",$E48-$F48)</f>
        <v/>
      </c>
      <c r="H48" s="24">
        <f>IF(OR($E48="",$E48=0,$G48=""),"",$G48/$E48)</f>
        <v/>
      </c>
      <c r="I48" s="22" t="n"/>
      <c r="J48" s="21" t="n"/>
      <c r="K48" s="21" t="n"/>
      <c r="L48" s="22" t="n"/>
    </row>
    <row r="49">
      <c r="B49" s="26">
        <f>IF($C49="","","RS-"&amp;TEXT(ROW()-4,"000"))</f>
        <v/>
      </c>
      <c r="C49" s="22" t="n"/>
      <c r="D49" s="22" t="n"/>
      <c r="E49" s="23" t="n"/>
      <c r="F49" s="23" t="n"/>
      <c r="G49" s="18">
        <f>IF(OR($E49="",$F49=""),"",$E49-$F49)</f>
        <v/>
      </c>
      <c r="H49" s="24">
        <f>IF(OR($E49="",$E49=0,$G49=""),"",$G49/$E49)</f>
        <v/>
      </c>
      <c r="I49" s="22" t="n"/>
      <c r="J49" s="21" t="n"/>
      <c r="K49" s="21" t="n"/>
      <c r="L49" s="22" t="n"/>
    </row>
    <row r="50">
      <c r="B50" s="26">
        <f>IF($C50="","","RS-"&amp;TEXT(ROW()-4,"000"))</f>
        <v/>
      </c>
      <c r="C50" s="22" t="n"/>
      <c r="D50" s="22" t="n"/>
      <c r="E50" s="23" t="n"/>
      <c r="F50" s="23" t="n"/>
      <c r="G50" s="18">
        <f>IF(OR($E50="",$F50=""),"",$E50-$F50)</f>
        <v/>
      </c>
      <c r="H50" s="24">
        <f>IF(OR($E50="",$E50=0,$G50=""),"",$G50/$E50)</f>
        <v/>
      </c>
      <c r="I50" s="22" t="n"/>
      <c r="J50" s="21" t="n"/>
      <c r="K50" s="21" t="n"/>
      <c r="L50" s="22" t="n"/>
    </row>
    <row r="51">
      <c r="B51" s="26">
        <f>IF($C51="","","RS-"&amp;TEXT(ROW()-4,"000"))</f>
        <v/>
      </c>
      <c r="C51" s="22" t="n"/>
      <c r="D51" s="22" t="n"/>
      <c r="E51" s="23" t="n"/>
      <c r="F51" s="23" t="n"/>
      <c r="G51" s="18">
        <f>IF(OR($E51="",$F51=""),"",$E51-$F51)</f>
        <v/>
      </c>
      <c r="H51" s="24">
        <f>IF(OR($E51="",$E51=0,$G51=""),"",$G51/$E51)</f>
        <v/>
      </c>
      <c r="I51" s="22" t="n"/>
      <c r="J51" s="21" t="n"/>
      <c r="K51" s="21" t="n"/>
      <c r="L51" s="22" t="n"/>
    </row>
    <row r="52">
      <c r="B52" s="26">
        <f>IF($C52="","","RS-"&amp;TEXT(ROW()-4,"000"))</f>
        <v/>
      </c>
      <c r="C52" s="22" t="n"/>
      <c r="D52" s="22" t="n"/>
      <c r="E52" s="23" t="n"/>
      <c r="F52" s="23" t="n"/>
      <c r="G52" s="18">
        <f>IF(OR($E52="",$F52=""),"",$E52-$F52)</f>
        <v/>
      </c>
      <c r="H52" s="24">
        <f>IF(OR($E52="",$E52=0,$G52=""),"",$G52/$E52)</f>
        <v/>
      </c>
      <c r="I52" s="22" t="n"/>
      <c r="J52" s="21" t="n"/>
      <c r="K52" s="21" t="n"/>
      <c r="L52" s="22" t="n"/>
    </row>
    <row r="53">
      <c r="B53" s="26">
        <f>IF($C53="","","RS-"&amp;TEXT(ROW()-4,"000"))</f>
        <v/>
      </c>
      <c r="C53" s="22" t="n"/>
      <c r="D53" s="22" t="n"/>
      <c r="E53" s="23" t="n"/>
      <c r="F53" s="23" t="n"/>
      <c r="G53" s="18">
        <f>IF(OR($E53="",$F53=""),"",$E53-$F53)</f>
        <v/>
      </c>
      <c r="H53" s="24">
        <f>IF(OR($E53="",$E53=0,$G53=""),"",$G53/$E53)</f>
        <v/>
      </c>
      <c r="I53" s="22" t="n"/>
      <c r="J53" s="21" t="n"/>
      <c r="K53" s="21" t="n"/>
      <c r="L53" s="22" t="n"/>
    </row>
    <row r="54">
      <c r="B54" s="26">
        <f>IF($C54="","","RS-"&amp;TEXT(ROW()-4,"000"))</f>
        <v/>
      </c>
      <c r="C54" s="22" t="n"/>
      <c r="D54" s="22" t="n"/>
      <c r="E54" s="23" t="n"/>
      <c r="F54" s="23" t="n"/>
      <c r="G54" s="18">
        <f>IF(OR($E54="",$F54=""),"",$E54-$F54)</f>
        <v/>
      </c>
      <c r="H54" s="24">
        <f>IF(OR($E54="",$E54=0,$G54=""),"",$G54/$E54)</f>
        <v/>
      </c>
      <c r="I54" s="22" t="n"/>
      <c r="J54" s="21" t="n"/>
      <c r="K54" s="21" t="n"/>
      <c r="L54" s="22" t="n"/>
    </row>
    <row r="55">
      <c r="B55" s="26">
        <f>IF($C55="","","RS-"&amp;TEXT(ROW()-4,"000"))</f>
        <v/>
      </c>
      <c r="C55" s="22" t="n"/>
      <c r="D55" s="22" t="n"/>
      <c r="E55" s="23" t="n"/>
      <c r="F55" s="23" t="n"/>
      <c r="G55" s="18">
        <f>IF(OR($E55="",$F55=""),"",$E55-$F55)</f>
        <v/>
      </c>
      <c r="H55" s="24">
        <f>IF(OR($E55="",$E55=0,$G55=""),"",$G55/$E55)</f>
        <v/>
      </c>
      <c r="I55" s="22" t="n"/>
      <c r="J55" s="21" t="n"/>
      <c r="K55" s="21" t="n"/>
      <c r="L55" s="22" t="n"/>
    </row>
    <row r="56">
      <c r="B56" s="26">
        <f>IF($C56="","","RS-"&amp;TEXT(ROW()-4,"000"))</f>
        <v/>
      </c>
      <c r="C56" s="22" t="n"/>
      <c r="D56" s="22" t="n"/>
      <c r="E56" s="23" t="n"/>
      <c r="F56" s="23" t="n"/>
      <c r="G56" s="18">
        <f>IF(OR($E56="",$F56=""),"",$E56-$F56)</f>
        <v/>
      </c>
      <c r="H56" s="24">
        <f>IF(OR($E56="",$E56=0,$G56=""),"",$G56/$E56)</f>
        <v/>
      </c>
      <c r="I56" s="22" t="n"/>
      <c r="J56" s="21" t="n"/>
      <c r="K56" s="21" t="n"/>
      <c r="L56" s="22" t="n"/>
    </row>
    <row r="57">
      <c r="B57" s="26">
        <f>IF($C57="","","RS-"&amp;TEXT(ROW()-4,"000"))</f>
        <v/>
      </c>
      <c r="C57" s="22" t="n"/>
      <c r="D57" s="22" t="n"/>
      <c r="E57" s="23" t="n"/>
      <c r="F57" s="23" t="n"/>
      <c r="G57" s="18">
        <f>IF(OR($E57="",$F57=""),"",$E57-$F57)</f>
        <v/>
      </c>
      <c r="H57" s="24">
        <f>IF(OR($E57="",$E57=0,$G57=""),"",$G57/$E57)</f>
        <v/>
      </c>
      <c r="I57" s="22" t="n"/>
      <c r="J57" s="21" t="n"/>
      <c r="K57" s="21" t="n"/>
      <c r="L57" s="22" t="n"/>
    </row>
    <row r="58">
      <c r="B58" s="26">
        <f>IF($C58="","","RS-"&amp;TEXT(ROW()-4,"000"))</f>
        <v/>
      </c>
      <c r="C58" s="22" t="n"/>
      <c r="D58" s="22" t="n"/>
      <c r="E58" s="23" t="n"/>
      <c r="F58" s="23" t="n"/>
      <c r="G58" s="18">
        <f>IF(OR($E58="",$F58=""),"",$E58-$F58)</f>
        <v/>
      </c>
      <c r="H58" s="24">
        <f>IF(OR($E58="",$E58=0,$G58=""),"",$G58/$E58)</f>
        <v/>
      </c>
      <c r="I58" s="22" t="n"/>
      <c r="J58" s="21" t="n"/>
      <c r="K58" s="21" t="n"/>
      <c r="L58" s="22" t="n"/>
    </row>
    <row r="59">
      <c r="B59" s="26">
        <f>IF($C59="","","RS-"&amp;TEXT(ROW()-4,"000"))</f>
        <v/>
      </c>
      <c r="C59" s="22" t="n"/>
      <c r="D59" s="22" t="n"/>
      <c r="E59" s="23" t="n"/>
      <c r="F59" s="23" t="n"/>
      <c r="G59" s="18">
        <f>IF(OR($E59="",$F59=""),"",$E59-$F59)</f>
        <v/>
      </c>
      <c r="H59" s="24">
        <f>IF(OR($E59="",$E59=0,$G59=""),"",$G59/$E59)</f>
        <v/>
      </c>
      <c r="I59" s="22" t="n"/>
      <c r="J59" s="21" t="n"/>
      <c r="K59" s="21" t="n"/>
      <c r="L59" s="22" t="n"/>
    </row>
    <row r="60">
      <c r="B60" s="26">
        <f>IF($C60="","","RS-"&amp;TEXT(ROW()-4,"000"))</f>
        <v/>
      </c>
      <c r="C60" s="22" t="n"/>
      <c r="D60" s="22" t="n"/>
      <c r="E60" s="23" t="n"/>
      <c r="F60" s="23" t="n"/>
      <c r="G60" s="18">
        <f>IF(OR($E60="",$F60=""),"",$E60-$F60)</f>
        <v/>
      </c>
      <c r="H60" s="24">
        <f>IF(OR($E60="",$E60=0,$G60=""),"",$G60/$E60)</f>
        <v/>
      </c>
      <c r="I60" s="22" t="n"/>
      <c r="J60" s="21" t="n"/>
      <c r="K60" s="21" t="n"/>
      <c r="L60" s="22" t="n"/>
    </row>
    <row r="61">
      <c r="B61" s="26">
        <f>IF($C61="","","RS-"&amp;TEXT(ROW()-4,"000"))</f>
        <v/>
      </c>
      <c r="C61" s="22" t="n"/>
      <c r="D61" s="22" t="n"/>
      <c r="E61" s="23" t="n"/>
      <c r="F61" s="23" t="n"/>
      <c r="G61" s="18">
        <f>IF(OR($E61="",$F61=""),"",$E61-$F61)</f>
        <v/>
      </c>
      <c r="H61" s="24">
        <f>IF(OR($E61="",$E61=0,$G61=""),"",$G61/$E61)</f>
        <v/>
      </c>
      <c r="I61" s="22" t="n"/>
      <c r="J61" s="21" t="n"/>
      <c r="K61" s="21" t="n"/>
      <c r="L61" s="22" t="n"/>
    </row>
    <row r="62">
      <c r="B62" s="26">
        <f>IF($C62="","","RS-"&amp;TEXT(ROW()-4,"000"))</f>
        <v/>
      </c>
      <c r="C62" s="22" t="n"/>
      <c r="D62" s="22" t="n"/>
      <c r="E62" s="23" t="n"/>
      <c r="F62" s="23" t="n"/>
      <c r="G62" s="18">
        <f>IF(OR($E62="",$F62=""),"",$E62-$F62)</f>
        <v/>
      </c>
      <c r="H62" s="24">
        <f>IF(OR($E62="",$E62=0,$G62=""),"",$G62/$E62)</f>
        <v/>
      </c>
      <c r="I62" s="22" t="n"/>
      <c r="J62" s="21" t="n"/>
      <c r="K62" s="21" t="n"/>
      <c r="L62" s="22" t="n"/>
    </row>
    <row r="63">
      <c r="B63" s="26">
        <f>IF($C63="","","RS-"&amp;TEXT(ROW()-4,"000"))</f>
        <v/>
      </c>
      <c r="C63" s="22" t="n"/>
      <c r="D63" s="22" t="n"/>
      <c r="E63" s="23" t="n"/>
      <c r="F63" s="23" t="n"/>
      <c r="G63" s="18">
        <f>IF(OR($E63="",$F63=""),"",$E63-$F63)</f>
        <v/>
      </c>
      <c r="H63" s="24">
        <f>IF(OR($E63="",$E63=0,$G63=""),"",$G63/$E63)</f>
        <v/>
      </c>
      <c r="I63" s="22" t="n"/>
      <c r="J63" s="21" t="n"/>
      <c r="K63" s="21" t="n"/>
      <c r="L63" s="22" t="n"/>
    </row>
    <row r="64">
      <c r="B64" s="26">
        <f>IF($C64="","","RS-"&amp;TEXT(ROW()-4,"000"))</f>
        <v/>
      </c>
      <c r="C64" s="22" t="n"/>
      <c r="D64" s="22" t="n"/>
      <c r="E64" s="23" t="n"/>
      <c r="F64" s="23" t="n"/>
      <c r="G64" s="18">
        <f>IF(OR($E64="",$F64=""),"",$E64-$F64)</f>
        <v/>
      </c>
      <c r="H64" s="24">
        <f>IF(OR($E64="",$E64=0,$G64=""),"",$G64/$E64)</f>
        <v/>
      </c>
      <c r="I64" s="22" t="n"/>
      <c r="J64" s="21" t="n"/>
      <c r="K64" s="21" t="n"/>
      <c r="L64" s="22" t="n"/>
    </row>
    <row r="65">
      <c r="B65" s="26">
        <f>IF($C65="","","RS-"&amp;TEXT(ROW()-4,"000"))</f>
        <v/>
      </c>
      <c r="C65" s="22" t="n"/>
      <c r="D65" s="22" t="n"/>
      <c r="E65" s="23" t="n"/>
      <c r="F65" s="23" t="n"/>
      <c r="G65" s="18">
        <f>IF(OR($E65="",$F65=""),"",$E65-$F65)</f>
        <v/>
      </c>
      <c r="H65" s="24">
        <f>IF(OR($E65="",$E65=0,$G65=""),"",$G65/$E65)</f>
        <v/>
      </c>
      <c r="I65" s="22" t="n"/>
      <c r="J65" s="21" t="n"/>
      <c r="K65" s="21" t="n"/>
      <c r="L65" s="22" t="n"/>
    </row>
    <row r="66">
      <c r="B66" s="26">
        <f>IF($C66="","","RS-"&amp;TEXT(ROW()-4,"000"))</f>
        <v/>
      </c>
      <c r="C66" s="22" t="n"/>
      <c r="D66" s="22" t="n"/>
      <c r="E66" s="23" t="n"/>
      <c r="F66" s="23" t="n"/>
      <c r="G66" s="18">
        <f>IF(OR($E66="",$F66=""),"",$E66-$F66)</f>
        <v/>
      </c>
      <c r="H66" s="24">
        <f>IF(OR($E66="",$E66=0,$G66=""),"",$G66/$E66)</f>
        <v/>
      </c>
      <c r="I66" s="22" t="n"/>
      <c r="J66" s="21" t="n"/>
      <c r="K66" s="21" t="n"/>
      <c r="L66" s="22" t="n"/>
    </row>
    <row r="67">
      <c r="B67" s="26">
        <f>IF($C67="","","RS-"&amp;TEXT(ROW()-4,"000"))</f>
        <v/>
      </c>
      <c r="C67" s="22" t="n"/>
      <c r="D67" s="22" t="n"/>
      <c r="E67" s="23" t="n"/>
      <c r="F67" s="23" t="n"/>
      <c r="G67" s="18">
        <f>IF(OR($E67="",$F67=""),"",$E67-$F67)</f>
        <v/>
      </c>
      <c r="H67" s="24">
        <f>IF(OR($E67="",$E67=0,$G67=""),"",$G67/$E67)</f>
        <v/>
      </c>
      <c r="I67" s="22" t="n"/>
      <c r="J67" s="21" t="n"/>
      <c r="K67" s="21" t="n"/>
      <c r="L67" s="22" t="n"/>
    </row>
    <row r="68">
      <c r="B68" s="26">
        <f>IF($C68="","","RS-"&amp;TEXT(ROW()-4,"000"))</f>
        <v/>
      </c>
      <c r="C68" s="22" t="n"/>
      <c r="D68" s="22" t="n"/>
      <c r="E68" s="23" t="n"/>
      <c r="F68" s="23" t="n"/>
      <c r="G68" s="18">
        <f>IF(OR($E68="",$F68=""),"",$E68-$F68)</f>
        <v/>
      </c>
      <c r="H68" s="24">
        <f>IF(OR($E68="",$E68=0,$G68=""),"",$G68/$E68)</f>
        <v/>
      </c>
      <c r="I68" s="22" t="n"/>
      <c r="J68" s="21" t="n"/>
      <c r="K68" s="21" t="n"/>
      <c r="L68" s="22" t="n"/>
    </row>
    <row r="69">
      <c r="B69" s="26">
        <f>IF($C69="","","RS-"&amp;TEXT(ROW()-4,"000"))</f>
        <v/>
      </c>
      <c r="C69" s="22" t="n"/>
      <c r="D69" s="22" t="n"/>
      <c r="E69" s="23" t="n"/>
      <c r="F69" s="23" t="n"/>
      <c r="G69" s="18">
        <f>IF(OR($E69="",$F69=""),"",$E69-$F69)</f>
        <v/>
      </c>
      <c r="H69" s="24">
        <f>IF(OR($E69="",$E69=0,$G69=""),"",$G69/$E69)</f>
        <v/>
      </c>
      <c r="I69" s="22" t="n"/>
      <c r="J69" s="21" t="n"/>
      <c r="K69" s="21" t="n"/>
      <c r="L69" s="22" t="n"/>
    </row>
    <row r="70">
      <c r="B70" s="26">
        <f>IF($C70="","","RS-"&amp;TEXT(ROW()-4,"000"))</f>
        <v/>
      </c>
      <c r="C70" s="22" t="n"/>
      <c r="D70" s="22" t="n"/>
      <c r="E70" s="23" t="n"/>
      <c r="F70" s="23" t="n"/>
      <c r="G70" s="18">
        <f>IF(OR($E70="",$F70=""),"",$E70-$F70)</f>
        <v/>
      </c>
      <c r="H70" s="24">
        <f>IF(OR($E70="",$E70=0,$G70=""),"",$G70/$E70)</f>
        <v/>
      </c>
      <c r="I70" s="22" t="n"/>
      <c r="J70" s="21" t="n"/>
      <c r="K70" s="21" t="n"/>
      <c r="L70" s="22" t="n"/>
    </row>
    <row r="71">
      <c r="B71" s="26">
        <f>IF($C71="","","RS-"&amp;TEXT(ROW()-4,"000"))</f>
        <v/>
      </c>
      <c r="C71" s="22" t="n"/>
      <c r="D71" s="22" t="n"/>
      <c r="E71" s="23" t="n"/>
      <c r="F71" s="23" t="n"/>
      <c r="G71" s="18">
        <f>IF(OR($E71="",$F71=""),"",$E71-$F71)</f>
        <v/>
      </c>
      <c r="H71" s="24">
        <f>IF(OR($E71="",$E71=0,$G71=""),"",$G71/$E71)</f>
        <v/>
      </c>
      <c r="I71" s="22" t="n"/>
      <c r="J71" s="21" t="n"/>
      <c r="K71" s="21" t="n"/>
      <c r="L71" s="22" t="n"/>
    </row>
    <row r="72">
      <c r="B72" s="26">
        <f>IF($C72="","","RS-"&amp;TEXT(ROW()-4,"000"))</f>
        <v/>
      </c>
      <c r="C72" s="22" t="n"/>
      <c r="D72" s="22" t="n"/>
      <c r="E72" s="23" t="n"/>
      <c r="F72" s="23" t="n"/>
      <c r="G72" s="18">
        <f>IF(OR($E72="",$F72=""),"",$E72-$F72)</f>
        <v/>
      </c>
      <c r="H72" s="24">
        <f>IF(OR($E72="",$E72=0,$G72=""),"",$G72/$E72)</f>
        <v/>
      </c>
      <c r="I72" s="22" t="n"/>
      <c r="J72" s="21" t="n"/>
      <c r="K72" s="21" t="n"/>
      <c r="L72" s="22" t="n"/>
    </row>
    <row r="73">
      <c r="B73" s="26">
        <f>IF($C73="","","RS-"&amp;TEXT(ROW()-4,"000"))</f>
        <v/>
      </c>
      <c r="C73" s="22" t="n"/>
      <c r="D73" s="22" t="n"/>
      <c r="E73" s="23" t="n"/>
      <c r="F73" s="23" t="n"/>
      <c r="G73" s="18">
        <f>IF(OR($E73="",$F73=""),"",$E73-$F73)</f>
        <v/>
      </c>
      <c r="H73" s="24">
        <f>IF(OR($E73="",$E73=0,$G73=""),"",$G73/$E73)</f>
        <v/>
      </c>
      <c r="I73" s="22" t="n"/>
      <c r="J73" s="21" t="n"/>
      <c r="K73" s="21" t="n"/>
      <c r="L73" s="22" t="n"/>
    </row>
    <row r="74">
      <c r="B74" s="26">
        <f>IF($C74="","","RS-"&amp;TEXT(ROW()-4,"000"))</f>
        <v/>
      </c>
      <c r="C74" s="22" t="n"/>
      <c r="D74" s="22" t="n"/>
      <c r="E74" s="23" t="n"/>
      <c r="F74" s="23" t="n"/>
      <c r="G74" s="18">
        <f>IF(OR($E74="",$F74=""),"",$E74-$F74)</f>
        <v/>
      </c>
      <c r="H74" s="24">
        <f>IF(OR($E74="",$E74=0,$G74=""),"",$G74/$E74)</f>
        <v/>
      </c>
      <c r="I74" s="22" t="n"/>
      <c r="J74" s="21" t="n"/>
      <c r="K74" s="21" t="n"/>
      <c r="L74" s="22" t="n"/>
    </row>
    <row r="75">
      <c r="B75" s="26">
        <f>IF($C75="","","RS-"&amp;TEXT(ROW()-4,"000"))</f>
        <v/>
      </c>
      <c r="C75" s="22" t="n"/>
      <c r="D75" s="22" t="n"/>
      <c r="E75" s="23" t="n"/>
      <c r="F75" s="23" t="n"/>
      <c r="G75" s="18">
        <f>IF(OR($E75="",$F75=""),"",$E75-$F75)</f>
        <v/>
      </c>
      <c r="H75" s="24">
        <f>IF(OR($E75="",$E75=0,$G75=""),"",$G75/$E75)</f>
        <v/>
      </c>
      <c r="I75" s="22" t="n"/>
      <c r="J75" s="21" t="n"/>
      <c r="K75" s="21" t="n"/>
      <c r="L75" s="22" t="n"/>
    </row>
    <row r="76">
      <c r="B76" s="26">
        <f>IF($C76="","","RS-"&amp;TEXT(ROW()-4,"000"))</f>
        <v/>
      </c>
      <c r="C76" s="22" t="n"/>
      <c r="D76" s="22" t="n"/>
      <c r="E76" s="23" t="n"/>
      <c r="F76" s="23" t="n"/>
      <c r="G76" s="18">
        <f>IF(OR($E76="",$F76=""),"",$E76-$F76)</f>
        <v/>
      </c>
      <c r="H76" s="24">
        <f>IF(OR($E76="",$E76=0,$G76=""),"",$G76/$E76)</f>
        <v/>
      </c>
      <c r="I76" s="22" t="n"/>
      <c r="J76" s="21" t="n"/>
      <c r="K76" s="21" t="n"/>
      <c r="L76" s="22" t="n"/>
    </row>
    <row r="77">
      <c r="B77" s="26">
        <f>IF($C77="","","RS-"&amp;TEXT(ROW()-4,"000"))</f>
        <v/>
      </c>
      <c r="C77" s="22" t="n"/>
      <c r="D77" s="22" t="n"/>
      <c r="E77" s="23" t="n"/>
      <c r="F77" s="23" t="n"/>
      <c r="G77" s="18">
        <f>IF(OR($E77="",$F77=""),"",$E77-$F77)</f>
        <v/>
      </c>
      <c r="H77" s="24">
        <f>IF(OR($E77="",$E77=0,$G77=""),"",$G77/$E77)</f>
        <v/>
      </c>
      <c r="I77" s="22" t="n"/>
      <c r="J77" s="21" t="n"/>
      <c r="K77" s="21" t="n"/>
      <c r="L77" s="22" t="n"/>
    </row>
    <row r="78">
      <c r="B78" s="26">
        <f>IF($C78="","","RS-"&amp;TEXT(ROW()-4,"000"))</f>
        <v/>
      </c>
      <c r="C78" s="22" t="n"/>
      <c r="D78" s="22" t="n"/>
      <c r="E78" s="23" t="n"/>
      <c r="F78" s="23" t="n"/>
      <c r="G78" s="18">
        <f>IF(OR($E78="",$F78=""),"",$E78-$F78)</f>
        <v/>
      </c>
      <c r="H78" s="24">
        <f>IF(OR($E78="",$E78=0,$G78=""),"",$G78/$E78)</f>
        <v/>
      </c>
      <c r="I78" s="22" t="n"/>
      <c r="J78" s="21" t="n"/>
      <c r="K78" s="21" t="n"/>
      <c r="L78" s="22" t="n"/>
    </row>
    <row r="79">
      <c r="B79" s="26">
        <f>IF($C79="","","RS-"&amp;TEXT(ROW()-4,"000"))</f>
        <v/>
      </c>
      <c r="C79" s="22" t="n"/>
      <c r="D79" s="22" t="n"/>
      <c r="E79" s="23" t="n"/>
      <c r="F79" s="23" t="n"/>
      <c r="G79" s="18">
        <f>IF(OR($E79="",$F79=""),"",$E79-$F79)</f>
        <v/>
      </c>
      <c r="H79" s="24">
        <f>IF(OR($E79="",$E79=0,$G79=""),"",$G79/$E79)</f>
        <v/>
      </c>
      <c r="I79" s="22" t="n"/>
      <c r="J79" s="21" t="n"/>
      <c r="K79" s="21" t="n"/>
      <c r="L79" s="22" t="n"/>
    </row>
    <row r="80">
      <c r="B80" s="26">
        <f>IF($C80="","","RS-"&amp;TEXT(ROW()-4,"000"))</f>
        <v/>
      </c>
      <c r="C80" s="22" t="n"/>
      <c r="D80" s="22" t="n"/>
      <c r="E80" s="23" t="n"/>
      <c r="F80" s="23" t="n"/>
      <c r="G80" s="18">
        <f>IF(OR($E80="",$F80=""),"",$E80-$F80)</f>
        <v/>
      </c>
      <c r="H80" s="24">
        <f>IF(OR($E80="",$E80=0,$G80=""),"",$G80/$E80)</f>
        <v/>
      </c>
      <c r="I80" s="22" t="n"/>
      <c r="J80" s="21" t="n"/>
      <c r="K80" s="21" t="n"/>
      <c r="L80" s="22" t="n"/>
    </row>
    <row r="81">
      <c r="B81" s="26">
        <f>IF($C81="","","RS-"&amp;TEXT(ROW()-4,"000"))</f>
        <v/>
      </c>
      <c r="C81" s="22" t="n"/>
      <c r="D81" s="22" t="n"/>
      <c r="E81" s="23" t="n"/>
      <c r="F81" s="23" t="n"/>
      <c r="G81" s="18">
        <f>IF(OR($E81="",$F81=""),"",$E81-$F81)</f>
        <v/>
      </c>
      <c r="H81" s="24">
        <f>IF(OR($E81="",$E81=0,$G81=""),"",$G81/$E81)</f>
        <v/>
      </c>
      <c r="I81" s="22" t="n"/>
      <c r="J81" s="21" t="n"/>
      <c r="K81" s="21" t="n"/>
      <c r="L81" s="22" t="n"/>
    </row>
    <row r="82">
      <c r="B82" s="26">
        <f>IF($C82="","","RS-"&amp;TEXT(ROW()-4,"000"))</f>
        <v/>
      </c>
      <c r="C82" s="22" t="n"/>
      <c r="D82" s="22" t="n"/>
      <c r="E82" s="23" t="n"/>
      <c r="F82" s="23" t="n"/>
      <c r="G82" s="18">
        <f>IF(OR($E82="",$F82=""),"",$E82-$F82)</f>
        <v/>
      </c>
      <c r="H82" s="24">
        <f>IF(OR($E82="",$E82=0,$G82=""),"",$G82/$E82)</f>
        <v/>
      </c>
      <c r="I82" s="22" t="n"/>
      <c r="J82" s="21" t="n"/>
      <c r="K82" s="21" t="n"/>
      <c r="L82" s="22" t="n"/>
    </row>
    <row r="83">
      <c r="B83" s="26">
        <f>IF($C83="","","RS-"&amp;TEXT(ROW()-4,"000"))</f>
        <v/>
      </c>
      <c r="C83" s="22" t="n"/>
      <c r="D83" s="22" t="n"/>
      <c r="E83" s="23" t="n"/>
      <c r="F83" s="23" t="n"/>
      <c r="G83" s="18">
        <f>IF(OR($E83="",$F83=""),"",$E83-$F83)</f>
        <v/>
      </c>
      <c r="H83" s="24">
        <f>IF(OR($E83="",$E83=0,$G83=""),"",$G83/$E83)</f>
        <v/>
      </c>
      <c r="I83" s="22" t="n"/>
      <c r="J83" s="21" t="n"/>
      <c r="K83" s="21" t="n"/>
      <c r="L83" s="22" t="n"/>
    </row>
    <row r="84">
      <c r="B84" s="26">
        <f>IF($C84="","","RS-"&amp;TEXT(ROW()-4,"000"))</f>
        <v/>
      </c>
      <c r="C84" s="22" t="n"/>
      <c r="D84" s="22" t="n"/>
      <c r="E84" s="23" t="n"/>
      <c r="F84" s="23" t="n"/>
      <c r="G84" s="18">
        <f>IF(OR($E84="",$F84=""),"",$E84-$F84)</f>
        <v/>
      </c>
      <c r="H84" s="24">
        <f>IF(OR($E84="",$E84=0,$G84=""),"",$G84/$E84)</f>
        <v/>
      </c>
      <c r="I84" s="22" t="n"/>
      <c r="J84" s="21" t="n"/>
      <c r="K84" s="21" t="n"/>
      <c r="L84" s="22" t="n"/>
    </row>
    <row r="85">
      <c r="B85" s="26">
        <f>IF($C85="","","RS-"&amp;TEXT(ROW()-4,"000"))</f>
        <v/>
      </c>
      <c r="C85" s="22" t="n"/>
      <c r="D85" s="22" t="n"/>
      <c r="E85" s="23" t="n"/>
      <c r="F85" s="23" t="n"/>
      <c r="G85" s="18">
        <f>IF(OR($E85="",$F85=""),"",$E85-$F85)</f>
        <v/>
      </c>
      <c r="H85" s="24">
        <f>IF(OR($E85="",$E85=0,$G85=""),"",$G85/$E85)</f>
        <v/>
      </c>
      <c r="I85" s="22" t="n"/>
      <c r="J85" s="21" t="n"/>
      <c r="K85" s="21" t="n"/>
      <c r="L85" s="22" t="n"/>
    </row>
    <row r="86">
      <c r="B86" s="26">
        <f>IF($C86="","","RS-"&amp;TEXT(ROW()-4,"000"))</f>
        <v/>
      </c>
      <c r="C86" s="22" t="n"/>
      <c r="D86" s="22" t="n"/>
      <c r="E86" s="23" t="n"/>
      <c r="F86" s="23" t="n"/>
      <c r="G86" s="18">
        <f>IF(OR($E86="",$F86=""),"",$E86-$F86)</f>
        <v/>
      </c>
      <c r="H86" s="24">
        <f>IF(OR($E86="",$E86=0,$G86=""),"",$G86/$E86)</f>
        <v/>
      </c>
      <c r="I86" s="22" t="n"/>
      <c r="J86" s="21" t="n"/>
      <c r="K86" s="21" t="n"/>
      <c r="L86" s="22" t="n"/>
    </row>
    <row r="87">
      <c r="B87" s="26">
        <f>IF($C87="","","RS-"&amp;TEXT(ROW()-4,"000"))</f>
        <v/>
      </c>
      <c r="C87" s="22" t="n"/>
      <c r="D87" s="22" t="n"/>
      <c r="E87" s="23" t="n"/>
      <c r="F87" s="23" t="n"/>
      <c r="G87" s="18">
        <f>IF(OR($E87="",$F87=""),"",$E87-$F87)</f>
        <v/>
      </c>
      <c r="H87" s="24">
        <f>IF(OR($E87="",$E87=0,$G87=""),"",$G87/$E87)</f>
        <v/>
      </c>
      <c r="I87" s="22" t="n"/>
      <c r="J87" s="21" t="n"/>
      <c r="K87" s="21" t="n"/>
      <c r="L87" s="22" t="n"/>
    </row>
    <row r="88">
      <c r="B88" s="26">
        <f>IF($C88="","","RS-"&amp;TEXT(ROW()-4,"000"))</f>
        <v/>
      </c>
      <c r="C88" s="22" t="n"/>
      <c r="D88" s="22" t="n"/>
      <c r="E88" s="23" t="n"/>
      <c r="F88" s="23" t="n"/>
      <c r="G88" s="18">
        <f>IF(OR($E88="",$F88=""),"",$E88-$F88)</f>
        <v/>
      </c>
      <c r="H88" s="24">
        <f>IF(OR($E88="",$E88=0,$G88=""),"",$G88/$E88)</f>
        <v/>
      </c>
      <c r="I88" s="22" t="n"/>
      <c r="J88" s="21" t="n"/>
      <c r="K88" s="21" t="n"/>
      <c r="L88" s="22" t="n"/>
    </row>
    <row r="89">
      <c r="B89" s="26">
        <f>IF($C89="","","RS-"&amp;TEXT(ROW()-4,"000"))</f>
        <v/>
      </c>
      <c r="C89" s="22" t="n"/>
      <c r="D89" s="22" t="n"/>
      <c r="E89" s="23" t="n"/>
      <c r="F89" s="23" t="n"/>
      <c r="G89" s="18">
        <f>IF(OR($E89="",$F89=""),"",$E89-$F89)</f>
        <v/>
      </c>
      <c r="H89" s="24">
        <f>IF(OR($E89="",$E89=0,$G89=""),"",$G89/$E89)</f>
        <v/>
      </c>
      <c r="I89" s="22" t="n"/>
      <c r="J89" s="21" t="n"/>
      <c r="K89" s="21" t="n"/>
      <c r="L89" s="22" t="n"/>
    </row>
    <row r="90">
      <c r="B90" s="26">
        <f>IF($C90="","","RS-"&amp;TEXT(ROW()-4,"000"))</f>
        <v/>
      </c>
      <c r="C90" s="22" t="n"/>
      <c r="D90" s="22" t="n"/>
      <c r="E90" s="23" t="n"/>
      <c r="F90" s="23" t="n"/>
      <c r="G90" s="18">
        <f>IF(OR($E90="",$F90=""),"",$E90-$F90)</f>
        <v/>
      </c>
      <c r="H90" s="24">
        <f>IF(OR($E90="",$E90=0,$G90=""),"",$G90/$E90)</f>
        <v/>
      </c>
      <c r="I90" s="22" t="n"/>
      <c r="J90" s="21" t="n"/>
      <c r="K90" s="21" t="n"/>
      <c r="L90" s="22" t="n"/>
    </row>
    <row r="91">
      <c r="B91" s="26">
        <f>IF($C91="","","RS-"&amp;TEXT(ROW()-4,"000"))</f>
        <v/>
      </c>
      <c r="C91" s="22" t="n"/>
      <c r="D91" s="22" t="n"/>
      <c r="E91" s="23" t="n"/>
      <c r="F91" s="23" t="n"/>
      <c r="G91" s="18">
        <f>IF(OR($E91="",$F91=""),"",$E91-$F91)</f>
        <v/>
      </c>
      <c r="H91" s="24">
        <f>IF(OR($E91="",$E91=0,$G91=""),"",$G91/$E91)</f>
        <v/>
      </c>
      <c r="I91" s="22" t="n"/>
      <c r="J91" s="21" t="n"/>
      <c r="K91" s="21" t="n"/>
      <c r="L91" s="22" t="n"/>
    </row>
    <row r="92">
      <c r="B92" s="26">
        <f>IF($C92="","","RS-"&amp;TEXT(ROW()-4,"000"))</f>
        <v/>
      </c>
      <c r="C92" s="22" t="n"/>
      <c r="D92" s="22" t="n"/>
      <c r="E92" s="23" t="n"/>
      <c r="F92" s="23" t="n"/>
      <c r="G92" s="18">
        <f>IF(OR($E92="",$F92=""),"",$E92-$F92)</f>
        <v/>
      </c>
      <c r="H92" s="24">
        <f>IF(OR($E92="",$E92=0,$G92=""),"",$G92/$E92)</f>
        <v/>
      </c>
      <c r="I92" s="22" t="n"/>
      <c r="J92" s="21" t="n"/>
      <c r="K92" s="21" t="n"/>
      <c r="L92" s="22" t="n"/>
    </row>
    <row r="93">
      <c r="B93" s="26">
        <f>IF($C93="","","RS-"&amp;TEXT(ROW()-4,"000"))</f>
        <v/>
      </c>
      <c r="C93" s="22" t="n"/>
      <c r="D93" s="22" t="n"/>
      <c r="E93" s="23" t="n"/>
      <c r="F93" s="23" t="n"/>
      <c r="G93" s="18">
        <f>IF(OR($E93="",$F93=""),"",$E93-$F93)</f>
        <v/>
      </c>
      <c r="H93" s="24">
        <f>IF(OR($E93="",$E93=0,$G93=""),"",$G93/$E93)</f>
        <v/>
      </c>
      <c r="I93" s="22" t="n"/>
      <c r="J93" s="21" t="n"/>
      <c r="K93" s="21" t="n"/>
      <c r="L93" s="22" t="n"/>
    </row>
    <row r="94">
      <c r="B94" s="26">
        <f>IF($C94="","","RS-"&amp;TEXT(ROW()-4,"000"))</f>
        <v/>
      </c>
      <c r="C94" s="22" t="n"/>
      <c r="D94" s="22" t="n"/>
      <c r="E94" s="23" t="n"/>
      <c r="F94" s="23" t="n"/>
      <c r="G94" s="18">
        <f>IF(OR($E94="",$F94=""),"",$E94-$F94)</f>
        <v/>
      </c>
      <c r="H94" s="24">
        <f>IF(OR($E94="",$E94=0,$G94=""),"",$G94/$E94)</f>
        <v/>
      </c>
      <c r="I94" s="22" t="n"/>
      <c r="J94" s="21" t="n"/>
      <c r="K94" s="21" t="n"/>
      <c r="L94" s="22" t="n"/>
    </row>
    <row r="95">
      <c r="B95" s="26">
        <f>IF($C95="","","RS-"&amp;TEXT(ROW()-4,"000"))</f>
        <v/>
      </c>
      <c r="C95" s="22" t="n"/>
      <c r="D95" s="22" t="n"/>
      <c r="E95" s="23" t="n"/>
      <c r="F95" s="23" t="n"/>
      <c r="G95" s="18">
        <f>IF(OR($E95="",$F95=""),"",$E95-$F95)</f>
        <v/>
      </c>
      <c r="H95" s="24">
        <f>IF(OR($E95="",$E95=0,$G95=""),"",$G95/$E95)</f>
        <v/>
      </c>
      <c r="I95" s="22" t="n"/>
      <c r="J95" s="21" t="n"/>
      <c r="K95" s="21" t="n"/>
      <c r="L95" s="22" t="n"/>
    </row>
    <row r="96">
      <c r="B96" s="26">
        <f>IF($C96="","","RS-"&amp;TEXT(ROW()-4,"000"))</f>
        <v/>
      </c>
      <c r="C96" s="22" t="n"/>
      <c r="D96" s="22" t="n"/>
      <c r="E96" s="23" t="n"/>
      <c r="F96" s="23" t="n"/>
      <c r="G96" s="18">
        <f>IF(OR($E96="",$F96=""),"",$E96-$F96)</f>
        <v/>
      </c>
      <c r="H96" s="24">
        <f>IF(OR($E96="",$E96=0,$G96=""),"",$G96/$E96)</f>
        <v/>
      </c>
      <c r="I96" s="22" t="n"/>
      <c r="J96" s="21" t="n"/>
      <c r="K96" s="21" t="n"/>
      <c r="L96" s="22" t="n"/>
    </row>
    <row r="97">
      <c r="B97" s="26">
        <f>IF($C97="","","RS-"&amp;TEXT(ROW()-4,"000"))</f>
        <v/>
      </c>
      <c r="C97" s="22" t="n"/>
      <c r="D97" s="22" t="n"/>
      <c r="E97" s="23" t="n"/>
      <c r="F97" s="23" t="n"/>
      <c r="G97" s="18">
        <f>IF(OR($E97="",$F97=""),"",$E97-$F97)</f>
        <v/>
      </c>
      <c r="H97" s="24">
        <f>IF(OR($E97="",$E97=0,$G97=""),"",$G97/$E97)</f>
        <v/>
      </c>
      <c r="I97" s="22" t="n"/>
      <c r="J97" s="21" t="n"/>
      <c r="K97" s="21" t="n"/>
      <c r="L97" s="22" t="n"/>
    </row>
    <row r="98">
      <c r="B98" s="26">
        <f>IF($C98="","","RS-"&amp;TEXT(ROW()-4,"000"))</f>
        <v/>
      </c>
      <c r="C98" s="22" t="n"/>
      <c r="D98" s="22" t="n"/>
      <c r="E98" s="23" t="n"/>
      <c r="F98" s="23" t="n"/>
      <c r="G98" s="18">
        <f>IF(OR($E98="",$F98=""),"",$E98-$F98)</f>
        <v/>
      </c>
      <c r="H98" s="24">
        <f>IF(OR($E98="",$E98=0,$G98=""),"",$G98/$E98)</f>
        <v/>
      </c>
      <c r="I98" s="22" t="n"/>
      <c r="J98" s="21" t="n"/>
      <c r="K98" s="21" t="n"/>
      <c r="L98" s="22" t="n"/>
    </row>
    <row r="99">
      <c r="B99" s="26">
        <f>IF($C99="","","RS-"&amp;TEXT(ROW()-4,"000"))</f>
        <v/>
      </c>
      <c r="C99" s="22" t="n"/>
      <c r="D99" s="22" t="n"/>
      <c r="E99" s="23" t="n"/>
      <c r="F99" s="23" t="n"/>
      <c r="G99" s="18">
        <f>IF(OR($E99="",$F99=""),"",$E99-$F99)</f>
        <v/>
      </c>
      <c r="H99" s="24">
        <f>IF(OR($E99="",$E99=0,$G99=""),"",$G99/$E99)</f>
        <v/>
      </c>
      <c r="I99" s="22" t="n"/>
      <c r="J99" s="21" t="n"/>
      <c r="K99" s="21" t="n"/>
      <c r="L99" s="22" t="n"/>
    </row>
    <row r="100">
      <c r="B100" s="26">
        <f>IF($C100="","","RS-"&amp;TEXT(ROW()-4,"000"))</f>
        <v/>
      </c>
      <c r="C100" s="22" t="n"/>
      <c r="D100" s="22" t="n"/>
      <c r="E100" s="23" t="n"/>
      <c r="F100" s="23" t="n"/>
      <c r="G100" s="18">
        <f>IF(OR($E100="",$F100=""),"",$E100-$F100)</f>
        <v/>
      </c>
      <c r="H100" s="24">
        <f>IF(OR($E100="",$E100=0,$G100=""),"",$G100/$E100)</f>
        <v/>
      </c>
      <c r="I100" s="22" t="n"/>
      <c r="J100" s="21" t="n"/>
      <c r="K100" s="21" t="n"/>
      <c r="L100" s="22" t="n"/>
    </row>
    <row r="101">
      <c r="B101" s="26">
        <f>IF($C101="","","RS-"&amp;TEXT(ROW()-4,"000"))</f>
        <v/>
      </c>
      <c r="C101" s="22" t="n"/>
      <c r="D101" s="22" t="n"/>
      <c r="E101" s="23" t="n"/>
      <c r="F101" s="23" t="n"/>
      <c r="G101" s="18">
        <f>IF(OR($E101="",$F101=""),"",$E101-$F101)</f>
        <v/>
      </c>
      <c r="H101" s="24">
        <f>IF(OR($E101="",$E101=0,$G101=""),"",$G101/$E101)</f>
        <v/>
      </c>
      <c r="I101" s="22" t="n"/>
      <c r="J101" s="21" t="n"/>
      <c r="K101" s="21" t="n"/>
      <c r="L101" s="22" t="n"/>
    </row>
    <row r="102">
      <c r="B102" s="26">
        <f>IF($C102="","","RS-"&amp;TEXT(ROW()-4,"000"))</f>
        <v/>
      </c>
      <c r="C102" s="22" t="n"/>
      <c r="D102" s="22" t="n"/>
      <c r="E102" s="23" t="n"/>
      <c r="F102" s="23" t="n"/>
      <c r="G102" s="18">
        <f>IF(OR($E102="",$F102=""),"",$E102-$F102)</f>
        <v/>
      </c>
      <c r="H102" s="24">
        <f>IF(OR($E102="",$E102=0,$G102=""),"",$G102/$E102)</f>
        <v/>
      </c>
      <c r="I102" s="22" t="n"/>
      <c r="J102" s="21" t="n"/>
      <c r="K102" s="21" t="n"/>
      <c r="L102" s="22" t="n"/>
    </row>
    <row r="103">
      <c r="B103" s="26">
        <f>IF($C103="","","RS-"&amp;TEXT(ROW()-4,"000"))</f>
        <v/>
      </c>
      <c r="C103" s="22" t="n"/>
      <c r="D103" s="22" t="n"/>
      <c r="E103" s="23" t="n"/>
      <c r="F103" s="23" t="n"/>
      <c r="G103" s="18">
        <f>IF(OR($E103="",$F103=""),"",$E103-$F103)</f>
        <v/>
      </c>
      <c r="H103" s="24">
        <f>IF(OR($E103="",$E103=0,$G103=""),"",$G103/$E103)</f>
        <v/>
      </c>
      <c r="I103" s="22" t="n"/>
      <c r="J103" s="21" t="n"/>
      <c r="K103" s="21" t="n"/>
      <c r="L103" s="22" t="n"/>
    </row>
    <row r="104">
      <c r="B104" s="26">
        <f>IF($C104="","","RS-"&amp;TEXT(ROW()-4,"000"))</f>
        <v/>
      </c>
      <c r="C104" s="22" t="n"/>
      <c r="D104" s="22" t="n"/>
      <c r="E104" s="23" t="n"/>
      <c r="F104" s="23" t="n"/>
      <c r="G104" s="18">
        <f>IF(OR($E104="",$F104=""),"",$E104-$F104)</f>
        <v/>
      </c>
      <c r="H104" s="24">
        <f>IF(OR($E104="",$E104=0,$G104=""),"",$G104/$E104)</f>
        <v/>
      </c>
      <c r="I104" s="22" t="n"/>
      <c r="J104" s="21" t="n"/>
      <c r="K104" s="21" t="n"/>
      <c r="L104" s="22" t="n"/>
    </row>
    <row r="105">
      <c r="B105" s="26">
        <f>IF($C105="","","RS-"&amp;TEXT(ROW()-4,"000"))</f>
        <v/>
      </c>
      <c r="C105" s="22" t="n"/>
      <c r="D105" s="22" t="n"/>
      <c r="E105" s="23" t="n"/>
      <c r="F105" s="23" t="n"/>
      <c r="G105" s="18">
        <f>IF(OR($E105="",$F105=""),"",$E105-$F105)</f>
        <v/>
      </c>
      <c r="H105" s="24">
        <f>IF(OR($E105="",$E105=0,$G105=""),"",$G105/$E105)</f>
        <v/>
      </c>
      <c r="I105" s="22" t="n"/>
      <c r="J105" s="21" t="n"/>
      <c r="K105" s="21" t="n"/>
      <c r="L105" s="22" t="n"/>
    </row>
    <row r="106">
      <c r="B106" s="26">
        <f>IF($C106="","","RS-"&amp;TEXT(ROW()-4,"000"))</f>
        <v/>
      </c>
      <c r="C106" s="22" t="n"/>
      <c r="D106" s="22" t="n"/>
      <c r="E106" s="23" t="n"/>
      <c r="F106" s="23" t="n"/>
      <c r="G106" s="18">
        <f>IF(OR($E106="",$F106=""),"",$E106-$F106)</f>
        <v/>
      </c>
      <c r="H106" s="24">
        <f>IF(OR($E106="",$E106=0,$G106=""),"",$G106/$E106)</f>
        <v/>
      </c>
      <c r="I106" s="22" t="n"/>
      <c r="J106" s="21" t="n"/>
      <c r="K106" s="21" t="n"/>
      <c r="L106" s="22" t="n"/>
    </row>
    <row r="107">
      <c r="B107" s="26">
        <f>IF($C107="","","RS-"&amp;TEXT(ROW()-4,"000"))</f>
        <v/>
      </c>
      <c r="C107" s="22" t="n"/>
      <c r="D107" s="22" t="n"/>
      <c r="E107" s="23" t="n"/>
      <c r="F107" s="23" t="n"/>
      <c r="G107" s="18">
        <f>IF(OR($E107="",$F107=""),"",$E107-$F107)</f>
        <v/>
      </c>
      <c r="H107" s="24">
        <f>IF(OR($E107="",$E107=0,$G107=""),"",$G107/$E107)</f>
        <v/>
      </c>
      <c r="I107" s="22" t="n"/>
      <c r="J107" s="21" t="n"/>
      <c r="K107" s="21" t="n"/>
      <c r="L107" s="22" t="n"/>
    </row>
    <row r="108">
      <c r="B108" s="26">
        <f>IF($C108="","","RS-"&amp;TEXT(ROW()-4,"000"))</f>
        <v/>
      </c>
      <c r="C108" s="22" t="n"/>
      <c r="D108" s="22" t="n"/>
      <c r="E108" s="23" t="n"/>
      <c r="F108" s="23" t="n"/>
      <c r="G108" s="18">
        <f>IF(OR($E108="",$F108=""),"",$E108-$F108)</f>
        <v/>
      </c>
      <c r="H108" s="24">
        <f>IF(OR($E108="",$E108=0,$G108=""),"",$G108/$E108)</f>
        <v/>
      </c>
      <c r="I108" s="22" t="n"/>
      <c r="J108" s="21" t="n"/>
      <c r="K108" s="21" t="n"/>
      <c r="L108" s="22" t="n"/>
    </row>
    <row r="109">
      <c r="B109" s="26">
        <f>IF($C109="","","RS-"&amp;TEXT(ROW()-4,"000"))</f>
        <v/>
      </c>
      <c r="C109" s="22" t="n"/>
      <c r="D109" s="22" t="n"/>
      <c r="E109" s="23" t="n"/>
      <c r="F109" s="23" t="n"/>
      <c r="G109" s="18">
        <f>IF(OR($E109="",$F109=""),"",$E109-$F109)</f>
        <v/>
      </c>
      <c r="H109" s="24">
        <f>IF(OR($E109="",$E109=0,$G109=""),"",$G109/$E109)</f>
        <v/>
      </c>
      <c r="I109" s="22" t="n"/>
      <c r="J109" s="21" t="n"/>
      <c r="K109" s="21" t="n"/>
      <c r="L109" s="22" t="n"/>
    </row>
    <row r="110">
      <c r="B110" s="26">
        <f>IF($C110="","","RS-"&amp;TEXT(ROW()-4,"000"))</f>
        <v/>
      </c>
      <c r="C110" s="22" t="n"/>
      <c r="D110" s="22" t="n"/>
      <c r="E110" s="23" t="n"/>
      <c r="F110" s="23" t="n"/>
      <c r="G110" s="18">
        <f>IF(OR($E110="",$F110=""),"",$E110-$F110)</f>
        <v/>
      </c>
      <c r="H110" s="24">
        <f>IF(OR($E110="",$E110=0,$G110=""),"",$G110/$E110)</f>
        <v/>
      </c>
      <c r="I110" s="22" t="n"/>
      <c r="J110" s="21" t="n"/>
      <c r="K110" s="21" t="n"/>
      <c r="L110" s="22" t="n"/>
    </row>
    <row r="111">
      <c r="B111" s="26">
        <f>IF($C111="","","RS-"&amp;TEXT(ROW()-4,"000"))</f>
        <v/>
      </c>
      <c r="C111" s="22" t="n"/>
      <c r="D111" s="22" t="n"/>
      <c r="E111" s="23" t="n"/>
      <c r="F111" s="23" t="n"/>
      <c r="G111" s="18">
        <f>IF(OR($E111="",$F111=""),"",$E111-$F111)</f>
        <v/>
      </c>
      <c r="H111" s="24">
        <f>IF(OR($E111="",$E111=0,$G111=""),"",$G111/$E111)</f>
        <v/>
      </c>
      <c r="I111" s="22" t="n"/>
      <c r="J111" s="21" t="n"/>
      <c r="K111" s="21" t="n"/>
      <c r="L111" s="22" t="n"/>
    </row>
    <row r="112">
      <c r="B112" s="26">
        <f>IF($C112="","","RS-"&amp;TEXT(ROW()-4,"000"))</f>
        <v/>
      </c>
      <c r="C112" s="22" t="n"/>
      <c r="D112" s="22" t="n"/>
      <c r="E112" s="23" t="n"/>
      <c r="F112" s="23" t="n"/>
      <c r="G112" s="18">
        <f>IF(OR($E112="",$F112=""),"",$E112-$F112)</f>
        <v/>
      </c>
      <c r="H112" s="24">
        <f>IF(OR($E112="",$E112=0,$G112=""),"",$G112/$E112)</f>
        <v/>
      </c>
      <c r="I112" s="22" t="n"/>
      <c r="J112" s="21" t="n"/>
      <c r="K112" s="21" t="n"/>
      <c r="L112" s="22" t="n"/>
    </row>
    <row r="113">
      <c r="B113" s="26">
        <f>IF($C113="","","RS-"&amp;TEXT(ROW()-4,"000"))</f>
        <v/>
      </c>
      <c r="C113" s="22" t="n"/>
      <c r="D113" s="22" t="n"/>
      <c r="E113" s="23" t="n"/>
      <c r="F113" s="23" t="n"/>
      <c r="G113" s="18">
        <f>IF(OR($E113="",$F113=""),"",$E113-$F113)</f>
        <v/>
      </c>
      <c r="H113" s="24">
        <f>IF(OR($E113="",$E113=0,$G113=""),"",$G113/$E113)</f>
        <v/>
      </c>
      <c r="I113" s="22" t="n"/>
      <c r="J113" s="21" t="n"/>
      <c r="K113" s="21" t="n"/>
      <c r="L113" s="22" t="n"/>
    </row>
    <row r="114">
      <c r="B114" s="26">
        <f>IF($C114="","","RS-"&amp;TEXT(ROW()-4,"000"))</f>
        <v/>
      </c>
      <c r="C114" s="22" t="n"/>
      <c r="D114" s="22" t="n"/>
      <c r="E114" s="23" t="n"/>
      <c r="F114" s="23" t="n"/>
      <c r="G114" s="18">
        <f>IF(OR($E114="",$F114=""),"",$E114-$F114)</f>
        <v/>
      </c>
      <c r="H114" s="24">
        <f>IF(OR($E114="",$E114=0,$G114=""),"",$G114/$E114)</f>
        <v/>
      </c>
      <c r="I114" s="22" t="n"/>
      <c r="J114" s="21" t="n"/>
      <c r="K114" s="21" t="n"/>
      <c r="L114" s="22" t="n"/>
    </row>
    <row r="115">
      <c r="B115" s="26">
        <f>IF($C115="","","RS-"&amp;TEXT(ROW()-4,"000"))</f>
        <v/>
      </c>
      <c r="C115" s="22" t="n"/>
      <c r="D115" s="22" t="n"/>
      <c r="E115" s="23" t="n"/>
      <c r="F115" s="23" t="n"/>
      <c r="G115" s="18">
        <f>IF(OR($E115="",$F115=""),"",$E115-$F115)</f>
        <v/>
      </c>
      <c r="H115" s="24">
        <f>IF(OR($E115="",$E115=0,$G115=""),"",$G115/$E115)</f>
        <v/>
      </c>
      <c r="I115" s="22" t="n"/>
      <c r="J115" s="21" t="n"/>
      <c r="K115" s="21" t="n"/>
      <c r="L115" s="22" t="n"/>
    </row>
    <row r="116">
      <c r="B116" s="26">
        <f>IF($C116="","","RS-"&amp;TEXT(ROW()-4,"000"))</f>
        <v/>
      </c>
      <c r="C116" s="22" t="n"/>
      <c r="D116" s="22" t="n"/>
      <c r="E116" s="23" t="n"/>
      <c r="F116" s="23" t="n"/>
      <c r="G116" s="18">
        <f>IF(OR($E116="",$F116=""),"",$E116-$F116)</f>
        <v/>
      </c>
      <c r="H116" s="24">
        <f>IF(OR($E116="",$E116=0,$G116=""),"",$G116/$E116)</f>
        <v/>
      </c>
      <c r="I116" s="22" t="n"/>
      <c r="J116" s="21" t="n"/>
      <c r="K116" s="21" t="n"/>
      <c r="L116" s="22" t="n"/>
    </row>
    <row r="117">
      <c r="B117" s="26">
        <f>IF($C117="","","RS-"&amp;TEXT(ROW()-4,"000"))</f>
        <v/>
      </c>
      <c r="C117" s="22" t="n"/>
      <c r="D117" s="22" t="n"/>
      <c r="E117" s="23" t="n"/>
      <c r="F117" s="23" t="n"/>
      <c r="G117" s="18">
        <f>IF(OR($E117="",$F117=""),"",$E117-$F117)</f>
        <v/>
      </c>
      <c r="H117" s="24">
        <f>IF(OR($E117="",$E117=0,$G117=""),"",$G117/$E117)</f>
        <v/>
      </c>
      <c r="I117" s="22" t="n"/>
      <c r="J117" s="21" t="n"/>
      <c r="K117" s="21" t="n"/>
      <c r="L117" s="22" t="n"/>
    </row>
    <row r="118">
      <c r="B118" s="26">
        <f>IF($C118="","","RS-"&amp;TEXT(ROW()-4,"000"))</f>
        <v/>
      </c>
      <c r="C118" s="22" t="n"/>
      <c r="D118" s="22" t="n"/>
      <c r="E118" s="23" t="n"/>
      <c r="F118" s="23" t="n"/>
      <c r="G118" s="18">
        <f>IF(OR($E118="",$F118=""),"",$E118-$F118)</f>
        <v/>
      </c>
      <c r="H118" s="24">
        <f>IF(OR($E118="",$E118=0,$G118=""),"",$G118/$E118)</f>
        <v/>
      </c>
      <c r="I118" s="22" t="n"/>
      <c r="J118" s="21" t="n"/>
      <c r="K118" s="21" t="n"/>
      <c r="L118" s="22" t="n"/>
    </row>
    <row r="119">
      <c r="B119" s="26">
        <f>IF($C119="","","RS-"&amp;TEXT(ROW()-4,"000"))</f>
        <v/>
      </c>
      <c r="C119" s="22" t="n"/>
      <c r="D119" s="22" t="n"/>
      <c r="E119" s="23" t="n"/>
      <c r="F119" s="23" t="n"/>
      <c r="G119" s="18">
        <f>IF(OR($E119="",$F119=""),"",$E119-$F119)</f>
        <v/>
      </c>
      <c r="H119" s="24">
        <f>IF(OR($E119="",$E119=0,$G119=""),"",$G119/$E119)</f>
        <v/>
      </c>
      <c r="I119" s="22" t="n"/>
      <c r="J119" s="21" t="n"/>
      <c r="K119" s="21" t="n"/>
      <c r="L119" s="22" t="n"/>
    </row>
    <row r="120">
      <c r="B120" s="26">
        <f>IF($C120="","","RS-"&amp;TEXT(ROW()-4,"000"))</f>
        <v/>
      </c>
      <c r="C120" s="22" t="n"/>
      <c r="D120" s="22" t="n"/>
      <c r="E120" s="23" t="n"/>
      <c r="F120" s="23" t="n"/>
      <c r="G120" s="18">
        <f>IF(OR($E120="",$F120=""),"",$E120-$F120)</f>
        <v/>
      </c>
      <c r="H120" s="24">
        <f>IF(OR($E120="",$E120=0,$G120=""),"",$G120/$E120)</f>
        <v/>
      </c>
      <c r="I120" s="22" t="n"/>
      <c r="J120" s="21" t="n"/>
      <c r="K120" s="21" t="n"/>
      <c r="L120" s="22" t="n"/>
    </row>
    <row r="121">
      <c r="B121" s="26">
        <f>IF($C121="","","RS-"&amp;TEXT(ROW()-4,"000"))</f>
        <v/>
      </c>
      <c r="C121" s="22" t="n"/>
      <c r="D121" s="22" t="n"/>
      <c r="E121" s="23" t="n"/>
      <c r="F121" s="23" t="n"/>
      <c r="G121" s="18">
        <f>IF(OR($E121="",$F121=""),"",$E121-$F121)</f>
        <v/>
      </c>
      <c r="H121" s="24">
        <f>IF(OR($E121="",$E121=0,$G121=""),"",$G121/$E121)</f>
        <v/>
      </c>
      <c r="I121" s="22" t="n"/>
      <c r="J121" s="21" t="n"/>
      <c r="K121" s="21" t="n"/>
      <c r="L121" s="22" t="n"/>
    </row>
    <row r="122">
      <c r="B122" s="26">
        <f>IF($C122="","","RS-"&amp;TEXT(ROW()-4,"000"))</f>
        <v/>
      </c>
      <c r="C122" s="22" t="n"/>
      <c r="D122" s="22" t="n"/>
      <c r="E122" s="23" t="n"/>
      <c r="F122" s="23" t="n"/>
      <c r="G122" s="18">
        <f>IF(OR($E122="",$F122=""),"",$E122-$F122)</f>
        <v/>
      </c>
      <c r="H122" s="24">
        <f>IF(OR($E122="",$E122=0,$G122=""),"",$G122/$E122)</f>
        <v/>
      </c>
      <c r="I122" s="22" t="n"/>
      <c r="J122" s="21" t="n"/>
      <c r="K122" s="21" t="n"/>
      <c r="L122" s="22" t="n"/>
    </row>
    <row r="123">
      <c r="B123" s="26">
        <f>IF($C123="","","RS-"&amp;TEXT(ROW()-4,"000"))</f>
        <v/>
      </c>
      <c r="C123" s="22" t="n"/>
      <c r="D123" s="22" t="n"/>
      <c r="E123" s="23" t="n"/>
      <c r="F123" s="23" t="n"/>
      <c r="G123" s="18">
        <f>IF(OR($E123="",$F123=""),"",$E123-$F123)</f>
        <v/>
      </c>
      <c r="H123" s="24">
        <f>IF(OR($E123="",$E123=0,$G123=""),"",$G123/$E123)</f>
        <v/>
      </c>
      <c r="I123" s="22" t="n"/>
      <c r="J123" s="21" t="n"/>
      <c r="K123" s="21" t="n"/>
      <c r="L123" s="22" t="n"/>
    </row>
    <row r="124">
      <c r="B124" s="26">
        <f>IF($C124="","","RS-"&amp;TEXT(ROW()-4,"000"))</f>
        <v/>
      </c>
      <c r="C124" s="22" t="n"/>
      <c r="D124" s="22" t="n"/>
      <c r="E124" s="23" t="n"/>
      <c r="F124" s="23" t="n"/>
      <c r="G124" s="18">
        <f>IF(OR($E124="",$F124=""),"",$E124-$F124)</f>
        <v/>
      </c>
      <c r="H124" s="24">
        <f>IF(OR($E124="",$E124=0,$G124=""),"",$G124/$E124)</f>
        <v/>
      </c>
      <c r="I124" s="22" t="n"/>
      <c r="J124" s="21" t="n"/>
      <c r="K124" s="21" t="n"/>
      <c r="L124" s="22" t="n"/>
    </row>
    <row r="125">
      <c r="B125" s="26">
        <f>IF($C125="","","RS-"&amp;TEXT(ROW()-4,"000"))</f>
        <v/>
      </c>
      <c r="C125" s="22" t="n"/>
      <c r="D125" s="22" t="n"/>
      <c r="E125" s="23" t="n"/>
      <c r="F125" s="23" t="n"/>
      <c r="G125" s="18">
        <f>IF(OR($E125="",$F125=""),"",$E125-$F125)</f>
        <v/>
      </c>
      <c r="H125" s="24">
        <f>IF(OR($E125="",$E125=0,$G125=""),"",$G125/$E125)</f>
        <v/>
      </c>
      <c r="I125" s="22" t="n"/>
      <c r="J125" s="21" t="n"/>
      <c r="K125" s="21" t="n"/>
      <c r="L125" s="22" t="n"/>
    </row>
    <row r="126">
      <c r="B126" s="26">
        <f>IF($C126="","","RS-"&amp;TEXT(ROW()-4,"000"))</f>
        <v/>
      </c>
      <c r="C126" s="22" t="n"/>
      <c r="D126" s="22" t="n"/>
      <c r="E126" s="23" t="n"/>
      <c r="F126" s="23" t="n"/>
      <c r="G126" s="18">
        <f>IF(OR($E126="",$F126=""),"",$E126-$F126)</f>
        <v/>
      </c>
      <c r="H126" s="24">
        <f>IF(OR($E126="",$E126=0,$G126=""),"",$G126/$E126)</f>
        <v/>
      </c>
      <c r="I126" s="22" t="n"/>
      <c r="J126" s="21" t="n"/>
      <c r="K126" s="21" t="n"/>
      <c r="L126" s="22" t="n"/>
    </row>
    <row r="127">
      <c r="B127" s="26">
        <f>IF($C127="","","RS-"&amp;TEXT(ROW()-4,"000"))</f>
        <v/>
      </c>
      <c r="C127" s="22" t="n"/>
      <c r="D127" s="22" t="n"/>
      <c r="E127" s="23" t="n"/>
      <c r="F127" s="23" t="n"/>
      <c r="G127" s="18">
        <f>IF(OR($E127="",$F127=""),"",$E127-$F127)</f>
        <v/>
      </c>
      <c r="H127" s="24">
        <f>IF(OR($E127="",$E127=0,$G127=""),"",$G127/$E127)</f>
        <v/>
      </c>
      <c r="I127" s="22" t="n"/>
      <c r="J127" s="21" t="n"/>
      <c r="K127" s="21" t="n"/>
      <c r="L127" s="22" t="n"/>
    </row>
    <row r="128">
      <c r="B128" s="26">
        <f>IF($C128="","","RS-"&amp;TEXT(ROW()-4,"000"))</f>
        <v/>
      </c>
      <c r="C128" s="22" t="n"/>
      <c r="D128" s="22" t="n"/>
      <c r="E128" s="23" t="n"/>
      <c r="F128" s="23" t="n"/>
      <c r="G128" s="18">
        <f>IF(OR($E128="",$F128=""),"",$E128-$F128)</f>
        <v/>
      </c>
      <c r="H128" s="24">
        <f>IF(OR($E128="",$E128=0,$G128=""),"",$G128/$E128)</f>
        <v/>
      </c>
      <c r="I128" s="22" t="n"/>
      <c r="J128" s="21" t="n"/>
      <c r="K128" s="21" t="n"/>
      <c r="L128" s="22" t="n"/>
    </row>
    <row r="129">
      <c r="B129" s="26">
        <f>IF($C129="","","RS-"&amp;TEXT(ROW()-4,"000"))</f>
        <v/>
      </c>
      <c r="C129" s="22" t="n"/>
      <c r="D129" s="22" t="n"/>
      <c r="E129" s="23" t="n"/>
      <c r="F129" s="23" t="n"/>
      <c r="G129" s="18">
        <f>IF(OR($E129="",$F129=""),"",$E129-$F129)</f>
        <v/>
      </c>
      <c r="H129" s="24">
        <f>IF(OR($E129="",$E129=0,$G129=""),"",$G129/$E129)</f>
        <v/>
      </c>
      <c r="I129" s="22" t="n"/>
      <c r="J129" s="21" t="n"/>
      <c r="K129" s="21" t="n"/>
      <c r="L129" s="22" t="n"/>
    </row>
    <row r="130">
      <c r="B130" s="26">
        <f>IF($C130="","","RS-"&amp;TEXT(ROW()-4,"000"))</f>
        <v/>
      </c>
      <c r="C130" s="22" t="n"/>
      <c r="D130" s="22" t="n"/>
      <c r="E130" s="23" t="n"/>
      <c r="F130" s="23" t="n"/>
      <c r="G130" s="18">
        <f>IF(OR($E130="",$F130=""),"",$E130-$F130)</f>
        <v/>
      </c>
      <c r="H130" s="24">
        <f>IF(OR($E130="",$E130=0,$G130=""),"",$G130/$E130)</f>
        <v/>
      </c>
      <c r="I130" s="22" t="n"/>
      <c r="J130" s="21" t="n"/>
      <c r="K130" s="21" t="n"/>
      <c r="L130" s="22" t="n"/>
    </row>
    <row r="131">
      <c r="B131" s="26">
        <f>IF($C131="","","RS-"&amp;TEXT(ROW()-4,"000"))</f>
        <v/>
      </c>
      <c r="C131" s="22" t="n"/>
      <c r="D131" s="22" t="n"/>
      <c r="E131" s="23" t="n"/>
      <c r="F131" s="23" t="n"/>
      <c r="G131" s="18">
        <f>IF(OR($E131="",$F131=""),"",$E131-$F131)</f>
        <v/>
      </c>
      <c r="H131" s="24">
        <f>IF(OR($E131="",$E131=0,$G131=""),"",$G131/$E131)</f>
        <v/>
      </c>
      <c r="I131" s="22" t="n"/>
      <c r="J131" s="21" t="n"/>
      <c r="K131" s="21" t="n"/>
      <c r="L131" s="22" t="n"/>
    </row>
    <row r="132">
      <c r="B132" s="26">
        <f>IF($C132="","","RS-"&amp;TEXT(ROW()-4,"000"))</f>
        <v/>
      </c>
      <c r="C132" s="22" t="n"/>
      <c r="D132" s="22" t="n"/>
      <c r="E132" s="23" t="n"/>
      <c r="F132" s="23" t="n"/>
      <c r="G132" s="18">
        <f>IF(OR($E132="",$F132=""),"",$E132-$F132)</f>
        <v/>
      </c>
      <c r="H132" s="24">
        <f>IF(OR($E132="",$E132=0,$G132=""),"",$G132/$E132)</f>
        <v/>
      </c>
      <c r="I132" s="22" t="n"/>
      <c r="J132" s="21" t="n"/>
      <c r="K132" s="21" t="n"/>
      <c r="L132" s="22" t="n"/>
    </row>
    <row r="133">
      <c r="B133" s="26">
        <f>IF($C133="","","RS-"&amp;TEXT(ROW()-4,"000"))</f>
        <v/>
      </c>
      <c r="C133" s="22" t="n"/>
      <c r="D133" s="22" t="n"/>
      <c r="E133" s="23" t="n"/>
      <c r="F133" s="23" t="n"/>
      <c r="G133" s="18">
        <f>IF(OR($E133="",$F133=""),"",$E133-$F133)</f>
        <v/>
      </c>
      <c r="H133" s="24">
        <f>IF(OR($E133="",$E133=0,$G133=""),"",$G133/$E133)</f>
        <v/>
      </c>
      <c r="I133" s="22" t="n"/>
      <c r="J133" s="21" t="n"/>
      <c r="K133" s="21" t="n"/>
      <c r="L133" s="22" t="n"/>
    </row>
    <row r="134">
      <c r="B134" s="26">
        <f>IF($C134="","","RS-"&amp;TEXT(ROW()-4,"000"))</f>
        <v/>
      </c>
      <c r="C134" s="22" t="n"/>
      <c r="D134" s="22" t="n"/>
      <c r="E134" s="23" t="n"/>
      <c r="F134" s="23" t="n"/>
      <c r="G134" s="18">
        <f>IF(OR($E134="",$F134=""),"",$E134-$F134)</f>
        <v/>
      </c>
      <c r="H134" s="24">
        <f>IF(OR($E134="",$E134=0,$G134=""),"",$G134/$E134)</f>
        <v/>
      </c>
      <c r="I134" s="22" t="n"/>
      <c r="J134" s="21" t="n"/>
      <c r="K134" s="21" t="n"/>
      <c r="L134" s="22" t="n"/>
    </row>
    <row r="135">
      <c r="B135" s="26">
        <f>IF($C135="","","RS-"&amp;TEXT(ROW()-4,"000"))</f>
        <v/>
      </c>
      <c r="C135" s="22" t="n"/>
      <c r="D135" s="22" t="n"/>
      <c r="E135" s="23" t="n"/>
      <c r="F135" s="23" t="n"/>
      <c r="G135" s="18">
        <f>IF(OR($E135="",$F135=""),"",$E135-$F135)</f>
        <v/>
      </c>
      <c r="H135" s="24">
        <f>IF(OR($E135="",$E135=0,$G135=""),"",$G135/$E135)</f>
        <v/>
      </c>
      <c r="I135" s="22" t="n"/>
      <c r="J135" s="21" t="n"/>
      <c r="K135" s="21" t="n"/>
      <c r="L135" s="22" t="n"/>
    </row>
    <row r="136">
      <c r="B136" s="26">
        <f>IF($C136="","","RS-"&amp;TEXT(ROW()-4,"000"))</f>
        <v/>
      </c>
      <c r="C136" s="22" t="n"/>
      <c r="D136" s="22" t="n"/>
      <c r="E136" s="23" t="n"/>
      <c r="F136" s="23" t="n"/>
      <c r="G136" s="18">
        <f>IF(OR($E136="",$F136=""),"",$E136-$F136)</f>
        <v/>
      </c>
      <c r="H136" s="24">
        <f>IF(OR($E136="",$E136=0,$G136=""),"",$G136/$E136)</f>
        <v/>
      </c>
      <c r="I136" s="22" t="n"/>
      <c r="J136" s="21" t="n"/>
      <c r="K136" s="21" t="n"/>
      <c r="L136" s="22" t="n"/>
    </row>
    <row r="137">
      <c r="B137" s="26">
        <f>IF($C137="","","RS-"&amp;TEXT(ROW()-4,"000"))</f>
        <v/>
      </c>
      <c r="C137" s="22" t="n"/>
      <c r="D137" s="22" t="n"/>
      <c r="E137" s="23" t="n"/>
      <c r="F137" s="23" t="n"/>
      <c r="G137" s="18">
        <f>IF(OR($E137="",$F137=""),"",$E137-$F137)</f>
        <v/>
      </c>
      <c r="H137" s="24">
        <f>IF(OR($E137="",$E137=0,$G137=""),"",$G137/$E137)</f>
        <v/>
      </c>
      <c r="I137" s="22" t="n"/>
      <c r="J137" s="21" t="n"/>
      <c r="K137" s="21" t="n"/>
      <c r="L137" s="22" t="n"/>
    </row>
    <row r="138">
      <c r="B138" s="26">
        <f>IF($C138="","","RS-"&amp;TEXT(ROW()-4,"000"))</f>
        <v/>
      </c>
      <c r="C138" s="22" t="n"/>
      <c r="D138" s="22" t="n"/>
      <c r="E138" s="23" t="n"/>
      <c r="F138" s="23" t="n"/>
      <c r="G138" s="18">
        <f>IF(OR($E138="",$F138=""),"",$E138-$F138)</f>
        <v/>
      </c>
      <c r="H138" s="24">
        <f>IF(OR($E138="",$E138=0,$G138=""),"",$G138/$E138)</f>
        <v/>
      </c>
      <c r="I138" s="22" t="n"/>
      <c r="J138" s="21" t="n"/>
      <c r="K138" s="21" t="n"/>
      <c r="L138" s="22" t="n"/>
    </row>
    <row r="139">
      <c r="B139" s="26">
        <f>IF($C139="","","RS-"&amp;TEXT(ROW()-4,"000"))</f>
        <v/>
      </c>
      <c r="C139" s="22" t="n"/>
      <c r="D139" s="22" t="n"/>
      <c r="E139" s="23" t="n"/>
      <c r="F139" s="23" t="n"/>
      <c r="G139" s="18">
        <f>IF(OR($E139="",$F139=""),"",$E139-$F139)</f>
        <v/>
      </c>
      <c r="H139" s="24">
        <f>IF(OR($E139="",$E139=0,$G139=""),"",$G139/$E139)</f>
        <v/>
      </c>
      <c r="I139" s="22" t="n"/>
      <c r="J139" s="21" t="n"/>
      <c r="K139" s="21" t="n"/>
      <c r="L139" s="22" t="n"/>
    </row>
    <row r="140">
      <c r="B140" s="26">
        <f>IF($C140="","","RS-"&amp;TEXT(ROW()-4,"000"))</f>
        <v/>
      </c>
      <c r="C140" s="22" t="n"/>
      <c r="D140" s="22" t="n"/>
      <c r="E140" s="23" t="n"/>
      <c r="F140" s="23" t="n"/>
      <c r="G140" s="18">
        <f>IF(OR($E140="",$F140=""),"",$E140-$F140)</f>
        <v/>
      </c>
      <c r="H140" s="24">
        <f>IF(OR($E140="",$E140=0,$G140=""),"",$G140/$E140)</f>
        <v/>
      </c>
      <c r="I140" s="22" t="n"/>
      <c r="J140" s="21" t="n"/>
      <c r="K140" s="21" t="n"/>
      <c r="L140" s="22" t="n"/>
    </row>
    <row r="141">
      <c r="B141" s="26">
        <f>IF($C141="","","RS-"&amp;TEXT(ROW()-4,"000"))</f>
        <v/>
      </c>
      <c r="C141" s="22" t="n"/>
      <c r="D141" s="22" t="n"/>
      <c r="E141" s="23" t="n"/>
      <c r="F141" s="23" t="n"/>
      <c r="G141" s="18">
        <f>IF(OR($E141="",$F141=""),"",$E141-$F141)</f>
        <v/>
      </c>
      <c r="H141" s="24">
        <f>IF(OR($E141="",$E141=0,$G141=""),"",$G141/$E141)</f>
        <v/>
      </c>
      <c r="I141" s="22" t="n"/>
      <c r="J141" s="21" t="n"/>
      <c r="K141" s="21" t="n"/>
      <c r="L141" s="22" t="n"/>
    </row>
    <row r="142">
      <c r="B142" s="26">
        <f>IF($C142="","","RS-"&amp;TEXT(ROW()-4,"000"))</f>
        <v/>
      </c>
      <c r="C142" s="22" t="n"/>
      <c r="D142" s="22" t="n"/>
      <c r="E142" s="23" t="n"/>
      <c r="F142" s="23" t="n"/>
      <c r="G142" s="18">
        <f>IF(OR($E142="",$F142=""),"",$E142-$F142)</f>
        <v/>
      </c>
      <c r="H142" s="24">
        <f>IF(OR($E142="",$E142=0,$G142=""),"",$G142/$E142)</f>
        <v/>
      </c>
      <c r="I142" s="22" t="n"/>
      <c r="J142" s="21" t="n"/>
      <c r="K142" s="21" t="n"/>
      <c r="L142" s="22" t="n"/>
    </row>
    <row r="143">
      <c r="B143" s="26">
        <f>IF($C143="","","RS-"&amp;TEXT(ROW()-4,"000"))</f>
        <v/>
      </c>
      <c r="C143" s="22" t="n"/>
      <c r="D143" s="22" t="n"/>
      <c r="E143" s="23" t="n"/>
      <c r="F143" s="23" t="n"/>
      <c r="G143" s="18">
        <f>IF(OR($E143="",$F143=""),"",$E143-$F143)</f>
        <v/>
      </c>
      <c r="H143" s="24">
        <f>IF(OR($E143="",$E143=0,$G143=""),"",$G143/$E143)</f>
        <v/>
      </c>
      <c r="I143" s="22" t="n"/>
      <c r="J143" s="21" t="n"/>
      <c r="K143" s="21" t="n"/>
      <c r="L143" s="22" t="n"/>
    </row>
    <row r="144">
      <c r="B144" s="26">
        <f>IF($C144="","","RS-"&amp;TEXT(ROW()-4,"000"))</f>
        <v/>
      </c>
      <c r="C144" s="22" t="n"/>
      <c r="D144" s="22" t="n"/>
      <c r="E144" s="23" t="n"/>
      <c r="F144" s="23" t="n"/>
      <c r="G144" s="18">
        <f>IF(OR($E144="",$F144=""),"",$E144-$F144)</f>
        <v/>
      </c>
      <c r="H144" s="24">
        <f>IF(OR($E144="",$E144=0,$G144=""),"",$G144/$E144)</f>
        <v/>
      </c>
      <c r="I144" s="22" t="n"/>
      <c r="J144" s="21" t="n"/>
      <c r="K144" s="21" t="n"/>
      <c r="L144" s="22" t="n"/>
    </row>
    <row r="145">
      <c r="B145" s="26">
        <f>IF($C145="","","RS-"&amp;TEXT(ROW()-4,"000"))</f>
        <v/>
      </c>
      <c r="C145" s="22" t="n"/>
      <c r="D145" s="22" t="n"/>
      <c r="E145" s="23" t="n"/>
      <c r="F145" s="23" t="n"/>
      <c r="G145" s="18">
        <f>IF(OR($E145="",$F145=""),"",$E145-$F145)</f>
        <v/>
      </c>
      <c r="H145" s="24">
        <f>IF(OR($E145="",$E145=0,$G145=""),"",$G145/$E145)</f>
        <v/>
      </c>
      <c r="I145" s="22" t="n"/>
      <c r="J145" s="21" t="n"/>
      <c r="K145" s="21" t="n"/>
      <c r="L145" s="22" t="n"/>
    </row>
    <row r="146">
      <c r="B146" s="26">
        <f>IF($C146="","","RS-"&amp;TEXT(ROW()-4,"000"))</f>
        <v/>
      </c>
      <c r="C146" s="22" t="n"/>
      <c r="D146" s="22" t="n"/>
      <c r="E146" s="23" t="n"/>
      <c r="F146" s="23" t="n"/>
      <c r="G146" s="18">
        <f>IF(OR($E146="",$F146=""),"",$E146-$F146)</f>
        <v/>
      </c>
      <c r="H146" s="24">
        <f>IF(OR($E146="",$E146=0,$G146=""),"",$G146/$E146)</f>
        <v/>
      </c>
      <c r="I146" s="22" t="n"/>
      <c r="J146" s="21" t="n"/>
      <c r="K146" s="21" t="n"/>
      <c r="L146" s="22" t="n"/>
    </row>
    <row r="147">
      <c r="B147" s="26">
        <f>IF($C147="","","RS-"&amp;TEXT(ROW()-4,"000"))</f>
        <v/>
      </c>
      <c r="C147" s="22" t="n"/>
      <c r="D147" s="22" t="n"/>
      <c r="E147" s="23" t="n"/>
      <c r="F147" s="23" t="n"/>
      <c r="G147" s="18">
        <f>IF(OR($E147="",$F147=""),"",$E147-$F147)</f>
        <v/>
      </c>
      <c r="H147" s="24">
        <f>IF(OR($E147="",$E147=0,$G147=""),"",$G147/$E147)</f>
        <v/>
      </c>
      <c r="I147" s="22" t="n"/>
      <c r="J147" s="21" t="n"/>
      <c r="K147" s="21" t="n"/>
      <c r="L147" s="22" t="n"/>
    </row>
    <row r="148">
      <c r="B148" s="26">
        <f>IF($C148="","","RS-"&amp;TEXT(ROW()-4,"000"))</f>
        <v/>
      </c>
      <c r="C148" s="22" t="n"/>
      <c r="D148" s="22" t="n"/>
      <c r="E148" s="23" t="n"/>
      <c r="F148" s="23" t="n"/>
      <c r="G148" s="18">
        <f>IF(OR($E148="",$F148=""),"",$E148-$F148)</f>
        <v/>
      </c>
      <c r="H148" s="24">
        <f>IF(OR($E148="",$E148=0,$G148=""),"",$G148/$E148)</f>
        <v/>
      </c>
      <c r="I148" s="22" t="n"/>
      <c r="J148" s="21" t="n"/>
      <c r="K148" s="21" t="n"/>
      <c r="L148" s="22" t="n"/>
    </row>
    <row r="149">
      <c r="B149" s="26">
        <f>IF($C149="","","RS-"&amp;TEXT(ROW()-4,"000"))</f>
        <v/>
      </c>
      <c r="C149" s="22" t="n"/>
      <c r="D149" s="22" t="n"/>
      <c r="E149" s="23" t="n"/>
      <c r="F149" s="23" t="n"/>
      <c r="G149" s="18">
        <f>IF(OR($E149="",$F149=""),"",$E149-$F149)</f>
        <v/>
      </c>
      <c r="H149" s="24">
        <f>IF(OR($E149="",$E149=0,$G149=""),"",$G149/$E149)</f>
        <v/>
      </c>
      <c r="I149" s="22" t="n"/>
      <c r="J149" s="21" t="n"/>
      <c r="K149" s="21" t="n"/>
      <c r="L149" s="22" t="n"/>
    </row>
    <row r="150">
      <c r="B150" s="26">
        <f>IF($C150="","","RS-"&amp;TEXT(ROW()-4,"000"))</f>
        <v/>
      </c>
      <c r="C150" s="22" t="n"/>
      <c r="D150" s="22" t="n"/>
      <c r="E150" s="23" t="n"/>
      <c r="F150" s="23" t="n"/>
      <c r="G150" s="18">
        <f>IF(OR($E150="",$F150=""),"",$E150-$F150)</f>
        <v/>
      </c>
      <c r="H150" s="24">
        <f>IF(OR($E150="",$E150=0,$G150=""),"",$G150/$E150)</f>
        <v/>
      </c>
      <c r="I150" s="22" t="n"/>
      <c r="J150" s="21" t="n"/>
      <c r="K150" s="21" t="n"/>
      <c r="L150" s="22" t="n"/>
    </row>
    <row r="151">
      <c r="B151" s="26">
        <f>IF($C151="","","RS-"&amp;TEXT(ROW()-4,"000"))</f>
        <v/>
      </c>
      <c r="C151" s="22" t="n"/>
      <c r="D151" s="22" t="n"/>
      <c r="E151" s="23" t="n"/>
      <c r="F151" s="23" t="n"/>
      <c r="G151" s="18">
        <f>IF(OR($E151="",$F151=""),"",$E151-$F151)</f>
        <v/>
      </c>
      <c r="H151" s="24">
        <f>IF(OR($E151="",$E151=0,$G151=""),"",$G151/$E151)</f>
        <v/>
      </c>
      <c r="I151" s="22" t="n"/>
      <c r="J151" s="21" t="n"/>
      <c r="K151" s="21" t="n"/>
      <c r="L151" s="22" t="n"/>
    </row>
    <row r="152">
      <c r="B152" s="26">
        <f>IF($C152="","","RS-"&amp;TEXT(ROW()-4,"000"))</f>
        <v/>
      </c>
      <c r="C152" s="22" t="n"/>
      <c r="D152" s="22" t="n"/>
      <c r="E152" s="23" t="n"/>
      <c r="F152" s="23" t="n"/>
      <c r="G152" s="18">
        <f>IF(OR($E152="",$F152=""),"",$E152-$F152)</f>
        <v/>
      </c>
      <c r="H152" s="24">
        <f>IF(OR($E152="",$E152=0,$G152=""),"",$G152/$E152)</f>
        <v/>
      </c>
      <c r="I152" s="22" t="n"/>
      <c r="J152" s="21" t="n"/>
      <c r="K152" s="21" t="n"/>
      <c r="L152" s="22" t="n"/>
    </row>
    <row r="153">
      <c r="B153" s="26">
        <f>IF($C153="","","RS-"&amp;TEXT(ROW()-4,"000"))</f>
        <v/>
      </c>
      <c r="C153" s="22" t="n"/>
      <c r="D153" s="22" t="n"/>
      <c r="E153" s="23" t="n"/>
      <c r="F153" s="23" t="n"/>
      <c r="G153" s="18">
        <f>IF(OR($E153="",$F153=""),"",$E153-$F153)</f>
        <v/>
      </c>
      <c r="H153" s="24">
        <f>IF(OR($E153="",$E153=0,$G153=""),"",$G153/$E153)</f>
        <v/>
      </c>
      <c r="I153" s="22" t="n"/>
      <c r="J153" s="21" t="n"/>
      <c r="K153" s="21" t="n"/>
      <c r="L153" s="22" t="n"/>
    </row>
    <row r="154">
      <c r="B154" s="26">
        <f>IF($C154="","","RS-"&amp;TEXT(ROW()-4,"000"))</f>
        <v/>
      </c>
      <c r="C154" s="22" t="n"/>
      <c r="D154" s="22" t="n"/>
      <c r="E154" s="23" t="n"/>
      <c r="F154" s="23" t="n"/>
      <c r="G154" s="18">
        <f>IF(OR($E154="",$F154=""),"",$E154-$F154)</f>
        <v/>
      </c>
      <c r="H154" s="24">
        <f>IF(OR($E154="",$E154=0,$G154=""),"",$G154/$E154)</f>
        <v/>
      </c>
      <c r="I154" s="22" t="n"/>
      <c r="J154" s="21" t="n"/>
      <c r="K154" s="21" t="n"/>
      <c r="L154" s="22" t="n"/>
    </row>
    <row r="155">
      <c r="B155" s="26">
        <f>IF($C155="","","RS-"&amp;TEXT(ROW()-4,"000"))</f>
        <v/>
      </c>
      <c r="C155" s="22" t="n"/>
      <c r="D155" s="22" t="n"/>
      <c r="E155" s="23" t="n"/>
      <c r="F155" s="23" t="n"/>
      <c r="G155" s="18">
        <f>IF(OR($E155="",$F155=""),"",$E155-$F155)</f>
        <v/>
      </c>
      <c r="H155" s="24">
        <f>IF(OR($E155="",$E155=0,$G155=""),"",$G155/$E155)</f>
        <v/>
      </c>
      <c r="I155" s="22" t="n"/>
      <c r="J155" s="21" t="n"/>
      <c r="K155" s="21" t="n"/>
      <c r="L155" s="22" t="n"/>
    </row>
    <row r="156">
      <c r="B156" s="26">
        <f>IF($C156="","","RS-"&amp;TEXT(ROW()-4,"000"))</f>
        <v/>
      </c>
      <c r="C156" s="22" t="n"/>
      <c r="D156" s="22" t="n"/>
      <c r="E156" s="23" t="n"/>
      <c r="F156" s="23" t="n"/>
      <c r="G156" s="18">
        <f>IF(OR($E156="",$F156=""),"",$E156-$F156)</f>
        <v/>
      </c>
      <c r="H156" s="24">
        <f>IF(OR($E156="",$E156=0,$G156=""),"",$G156/$E156)</f>
        <v/>
      </c>
      <c r="I156" s="22" t="n"/>
      <c r="J156" s="21" t="n"/>
      <c r="K156" s="21" t="n"/>
      <c r="L156" s="22" t="n"/>
    </row>
    <row r="157">
      <c r="B157" s="26">
        <f>IF($C157="","","RS-"&amp;TEXT(ROW()-4,"000"))</f>
        <v/>
      </c>
      <c r="C157" s="22" t="n"/>
      <c r="D157" s="22" t="n"/>
      <c r="E157" s="23" t="n"/>
      <c r="F157" s="23" t="n"/>
      <c r="G157" s="18">
        <f>IF(OR($E157="",$F157=""),"",$E157-$F157)</f>
        <v/>
      </c>
      <c r="H157" s="24">
        <f>IF(OR($E157="",$E157=0,$G157=""),"",$G157/$E157)</f>
        <v/>
      </c>
      <c r="I157" s="22" t="n"/>
      <c r="J157" s="21" t="n"/>
      <c r="K157" s="21" t="n"/>
      <c r="L157" s="22" t="n"/>
    </row>
    <row r="158">
      <c r="B158" s="26">
        <f>IF($C158="","","RS-"&amp;TEXT(ROW()-4,"000"))</f>
        <v/>
      </c>
      <c r="C158" s="22" t="n"/>
      <c r="D158" s="22" t="n"/>
      <c r="E158" s="23" t="n"/>
      <c r="F158" s="23" t="n"/>
      <c r="G158" s="18">
        <f>IF(OR($E158="",$F158=""),"",$E158-$F158)</f>
        <v/>
      </c>
      <c r="H158" s="24">
        <f>IF(OR($E158="",$E158=0,$G158=""),"",$G158/$E158)</f>
        <v/>
      </c>
      <c r="I158" s="22" t="n"/>
      <c r="J158" s="21" t="n"/>
      <c r="K158" s="21" t="n"/>
      <c r="L158" s="22" t="n"/>
    </row>
    <row r="159">
      <c r="B159" s="26">
        <f>IF($C159="","","RS-"&amp;TEXT(ROW()-4,"000"))</f>
        <v/>
      </c>
      <c r="C159" s="22" t="n"/>
      <c r="D159" s="22" t="n"/>
      <c r="E159" s="23" t="n"/>
      <c r="F159" s="23" t="n"/>
      <c r="G159" s="18">
        <f>IF(OR($E159="",$F159=""),"",$E159-$F159)</f>
        <v/>
      </c>
      <c r="H159" s="24">
        <f>IF(OR($E159="",$E159=0,$G159=""),"",$G159/$E159)</f>
        <v/>
      </c>
      <c r="I159" s="22" t="n"/>
      <c r="J159" s="21" t="n"/>
      <c r="K159" s="21" t="n"/>
      <c r="L159" s="22" t="n"/>
    </row>
    <row r="160">
      <c r="B160" s="26">
        <f>IF($C160="","","RS-"&amp;TEXT(ROW()-4,"000"))</f>
        <v/>
      </c>
      <c r="C160" s="22" t="n"/>
      <c r="D160" s="22" t="n"/>
      <c r="E160" s="23" t="n"/>
      <c r="F160" s="23" t="n"/>
      <c r="G160" s="18">
        <f>IF(OR($E160="",$F160=""),"",$E160-$F160)</f>
        <v/>
      </c>
      <c r="H160" s="24">
        <f>IF(OR($E160="",$E160=0,$G160=""),"",$G160/$E160)</f>
        <v/>
      </c>
      <c r="I160" s="22" t="n"/>
      <c r="J160" s="21" t="n"/>
      <c r="K160" s="21" t="n"/>
      <c r="L160" s="22" t="n"/>
    </row>
    <row r="161">
      <c r="B161" s="26">
        <f>IF($C161="","","RS-"&amp;TEXT(ROW()-4,"000"))</f>
        <v/>
      </c>
      <c r="C161" s="22" t="n"/>
      <c r="D161" s="22" t="n"/>
      <c r="E161" s="23" t="n"/>
      <c r="F161" s="23" t="n"/>
      <c r="G161" s="18">
        <f>IF(OR($E161="",$F161=""),"",$E161-$F161)</f>
        <v/>
      </c>
      <c r="H161" s="24">
        <f>IF(OR($E161="",$E161=0,$G161=""),"",$G161/$E161)</f>
        <v/>
      </c>
      <c r="I161" s="22" t="n"/>
      <c r="J161" s="21" t="n"/>
      <c r="K161" s="21" t="n"/>
      <c r="L161" s="22" t="n"/>
    </row>
    <row r="162">
      <c r="B162" s="26">
        <f>IF($C162="","","RS-"&amp;TEXT(ROW()-4,"000"))</f>
        <v/>
      </c>
      <c r="C162" s="22" t="n"/>
      <c r="D162" s="22" t="n"/>
      <c r="E162" s="23" t="n"/>
      <c r="F162" s="23" t="n"/>
      <c r="G162" s="18">
        <f>IF(OR($E162="",$F162=""),"",$E162-$F162)</f>
        <v/>
      </c>
      <c r="H162" s="24">
        <f>IF(OR($E162="",$E162=0,$G162=""),"",$G162/$E162)</f>
        <v/>
      </c>
      <c r="I162" s="22" t="n"/>
      <c r="J162" s="21" t="n"/>
      <c r="K162" s="21" t="n"/>
      <c r="L162" s="22" t="n"/>
    </row>
    <row r="163">
      <c r="B163" s="26">
        <f>IF($C163="","","RS-"&amp;TEXT(ROW()-4,"000"))</f>
        <v/>
      </c>
      <c r="C163" s="22" t="n"/>
      <c r="D163" s="22" t="n"/>
      <c r="E163" s="23" t="n"/>
      <c r="F163" s="23" t="n"/>
      <c r="G163" s="18">
        <f>IF(OR($E163="",$F163=""),"",$E163-$F163)</f>
        <v/>
      </c>
      <c r="H163" s="24">
        <f>IF(OR($E163="",$E163=0,$G163=""),"",$G163/$E163)</f>
        <v/>
      </c>
      <c r="I163" s="22" t="n"/>
      <c r="J163" s="21" t="n"/>
      <c r="K163" s="21" t="n"/>
      <c r="L163" s="22" t="n"/>
    </row>
    <row r="164">
      <c r="B164" s="26">
        <f>IF($C164="","","RS-"&amp;TEXT(ROW()-4,"000"))</f>
        <v/>
      </c>
      <c r="C164" s="22" t="n"/>
      <c r="D164" s="22" t="n"/>
      <c r="E164" s="23" t="n"/>
      <c r="F164" s="23" t="n"/>
      <c r="G164" s="18">
        <f>IF(OR($E164="",$F164=""),"",$E164-$F164)</f>
        <v/>
      </c>
      <c r="H164" s="24">
        <f>IF(OR($E164="",$E164=0,$G164=""),"",$G164/$E164)</f>
        <v/>
      </c>
      <c r="I164" s="22" t="n"/>
      <c r="J164" s="21" t="n"/>
      <c r="K164" s="21" t="n"/>
      <c r="L164" s="22" t="n"/>
    </row>
    <row r="165">
      <c r="B165" s="26">
        <f>IF($C165="","","RS-"&amp;TEXT(ROW()-4,"000"))</f>
        <v/>
      </c>
      <c r="C165" s="22" t="n"/>
      <c r="D165" s="22" t="n"/>
      <c r="E165" s="23" t="n"/>
      <c r="F165" s="23" t="n"/>
      <c r="G165" s="18">
        <f>IF(OR($E165="",$F165=""),"",$E165-$F165)</f>
        <v/>
      </c>
      <c r="H165" s="24">
        <f>IF(OR($E165="",$E165=0,$G165=""),"",$G165/$E165)</f>
        <v/>
      </c>
      <c r="I165" s="22" t="n"/>
      <c r="J165" s="21" t="n"/>
      <c r="K165" s="21" t="n"/>
      <c r="L165" s="22" t="n"/>
    </row>
    <row r="166">
      <c r="B166" s="26">
        <f>IF($C166="","","RS-"&amp;TEXT(ROW()-4,"000"))</f>
        <v/>
      </c>
      <c r="C166" s="22" t="n"/>
      <c r="D166" s="22" t="n"/>
      <c r="E166" s="23" t="n"/>
      <c r="F166" s="23" t="n"/>
      <c r="G166" s="18">
        <f>IF(OR($E166="",$F166=""),"",$E166-$F166)</f>
        <v/>
      </c>
      <c r="H166" s="24">
        <f>IF(OR($E166="",$E166=0,$G166=""),"",$G166/$E166)</f>
        <v/>
      </c>
      <c r="I166" s="22" t="n"/>
      <c r="J166" s="21" t="n"/>
      <c r="K166" s="21" t="n"/>
      <c r="L166" s="22" t="n"/>
    </row>
    <row r="167">
      <c r="B167" s="26">
        <f>IF($C167="","","RS-"&amp;TEXT(ROW()-4,"000"))</f>
        <v/>
      </c>
      <c r="C167" s="22" t="n"/>
      <c r="D167" s="22" t="n"/>
      <c r="E167" s="23" t="n"/>
      <c r="F167" s="23" t="n"/>
      <c r="G167" s="18">
        <f>IF(OR($E167="",$F167=""),"",$E167-$F167)</f>
        <v/>
      </c>
      <c r="H167" s="24">
        <f>IF(OR($E167="",$E167=0,$G167=""),"",$G167/$E167)</f>
        <v/>
      </c>
      <c r="I167" s="22" t="n"/>
      <c r="J167" s="21" t="n"/>
      <c r="K167" s="21" t="n"/>
      <c r="L167" s="22" t="n"/>
    </row>
    <row r="168">
      <c r="B168" s="26">
        <f>IF($C168="","","RS-"&amp;TEXT(ROW()-4,"000"))</f>
        <v/>
      </c>
      <c r="C168" s="22" t="n"/>
      <c r="D168" s="22" t="n"/>
      <c r="E168" s="23" t="n"/>
      <c r="F168" s="23" t="n"/>
      <c r="G168" s="18">
        <f>IF(OR($E168="",$F168=""),"",$E168-$F168)</f>
        <v/>
      </c>
      <c r="H168" s="24">
        <f>IF(OR($E168="",$E168=0,$G168=""),"",$G168/$E168)</f>
        <v/>
      </c>
      <c r="I168" s="22" t="n"/>
      <c r="J168" s="21" t="n"/>
      <c r="K168" s="21" t="n"/>
      <c r="L168" s="22" t="n"/>
    </row>
    <row r="169">
      <c r="B169" s="26">
        <f>IF($C169="","","RS-"&amp;TEXT(ROW()-4,"000"))</f>
        <v/>
      </c>
      <c r="C169" s="22" t="n"/>
      <c r="D169" s="22" t="n"/>
      <c r="E169" s="23" t="n"/>
      <c r="F169" s="23" t="n"/>
      <c r="G169" s="18">
        <f>IF(OR($E169="",$F169=""),"",$E169-$F169)</f>
        <v/>
      </c>
      <c r="H169" s="24">
        <f>IF(OR($E169="",$E169=0,$G169=""),"",$G169/$E169)</f>
        <v/>
      </c>
      <c r="I169" s="22" t="n"/>
      <c r="J169" s="21" t="n"/>
      <c r="K169" s="21" t="n"/>
      <c r="L169" s="22" t="n"/>
    </row>
    <row r="170">
      <c r="B170" s="26">
        <f>IF($C170="","","RS-"&amp;TEXT(ROW()-4,"000"))</f>
        <v/>
      </c>
      <c r="C170" s="22" t="n"/>
      <c r="D170" s="22" t="n"/>
      <c r="E170" s="23" t="n"/>
      <c r="F170" s="23" t="n"/>
      <c r="G170" s="18">
        <f>IF(OR($E170="",$F170=""),"",$E170-$F170)</f>
        <v/>
      </c>
      <c r="H170" s="24">
        <f>IF(OR($E170="",$E170=0,$G170=""),"",$G170/$E170)</f>
        <v/>
      </c>
      <c r="I170" s="22" t="n"/>
      <c r="J170" s="21" t="n"/>
      <c r="K170" s="21" t="n"/>
      <c r="L170" s="22" t="n"/>
    </row>
    <row r="171">
      <c r="B171" s="26">
        <f>IF($C171="","","RS-"&amp;TEXT(ROW()-4,"000"))</f>
        <v/>
      </c>
      <c r="C171" s="22" t="n"/>
      <c r="D171" s="22" t="n"/>
      <c r="E171" s="23" t="n"/>
      <c r="F171" s="23" t="n"/>
      <c r="G171" s="18">
        <f>IF(OR($E171="",$F171=""),"",$E171-$F171)</f>
        <v/>
      </c>
      <c r="H171" s="24">
        <f>IF(OR($E171="",$E171=0,$G171=""),"",$G171/$E171)</f>
        <v/>
      </c>
      <c r="I171" s="22" t="n"/>
      <c r="J171" s="21" t="n"/>
      <c r="K171" s="21" t="n"/>
      <c r="L171" s="22" t="n"/>
    </row>
    <row r="172">
      <c r="B172" s="26">
        <f>IF($C172="","","RS-"&amp;TEXT(ROW()-4,"000"))</f>
        <v/>
      </c>
      <c r="C172" s="22" t="n"/>
      <c r="D172" s="22" t="n"/>
      <c r="E172" s="23" t="n"/>
      <c r="F172" s="23" t="n"/>
      <c r="G172" s="18">
        <f>IF(OR($E172="",$F172=""),"",$E172-$F172)</f>
        <v/>
      </c>
      <c r="H172" s="24">
        <f>IF(OR($E172="",$E172=0,$G172=""),"",$G172/$E172)</f>
        <v/>
      </c>
      <c r="I172" s="22" t="n"/>
      <c r="J172" s="21" t="n"/>
      <c r="K172" s="21" t="n"/>
      <c r="L172" s="22" t="n"/>
    </row>
    <row r="173">
      <c r="B173" s="26">
        <f>IF($C173="","","RS-"&amp;TEXT(ROW()-4,"000"))</f>
        <v/>
      </c>
      <c r="C173" s="22" t="n"/>
      <c r="D173" s="22" t="n"/>
      <c r="E173" s="23" t="n"/>
      <c r="F173" s="23" t="n"/>
      <c r="G173" s="18">
        <f>IF(OR($E173="",$F173=""),"",$E173-$F173)</f>
        <v/>
      </c>
      <c r="H173" s="24">
        <f>IF(OR($E173="",$E173=0,$G173=""),"",$G173/$E173)</f>
        <v/>
      </c>
      <c r="I173" s="22" t="n"/>
      <c r="J173" s="21" t="n"/>
      <c r="K173" s="21" t="n"/>
      <c r="L173" s="22" t="n"/>
    </row>
    <row r="174">
      <c r="B174" s="26">
        <f>IF($C174="","","RS-"&amp;TEXT(ROW()-4,"000"))</f>
        <v/>
      </c>
      <c r="C174" s="22" t="n"/>
      <c r="D174" s="22" t="n"/>
      <c r="E174" s="23" t="n"/>
      <c r="F174" s="23" t="n"/>
      <c r="G174" s="18">
        <f>IF(OR($E174="",$F174=""),"",$E174-$F174)</f>
        <v/>
      </c>
      <c r="H174" s="24">
        <f>IF(OR($E174="",$E174=0,$G174=""),"",$G174/$E174)</f>
        <v/>
      </c>
      <c r="I174" s="22" t="n"/>
      <c r="J174" s="21" t="n"/>
      <c r="K174" s="21" t="n"/>
      <c r="L174" s="22" t="n"/>
    </row>
    <row r="175">
      <c r="B175" s="26">
        <f>IF($C175="","","RS-"&amp;TEXT(ROW()-4,"000"))</f>
        <v/>
      </c>
      <c r="C175" s="22" t="n"/>
      <c r="D175" s="22" t="n"/>
      <c r="E175" s="23" t="n"/>
      <c r="F175" s="23" t="n"/>
      <c r="G175" s="18">
        <f>IF(OR($E175="",$F175=""),"",$E175-$F175)</f>
        <v/>
      </c>
      <c r="H175" s="24">
        <f>IF(OR($E175="",$E175=0,$G175=""),"",$G175/$E175)</f>
        <v/>
      </c>
      <c r="I175" s="22" t="n"/>
      <c r="J175" s="21" t="n"/>
      <c r="K175" s="21" t="n"/>
      <c r="L175" s="22" t="n"/>
    </row>
    <row r="176">
      <c r="B176" s="26">
        <f>IF($C176="","","RS-"&amp;TEXT(ROW()-4,"000"))</f>
        <v/>
      </c>
      <c r="C176" s="22" t="n"/>
      <c r="D176" s="22" t="n"/>
      <c r="E176" s="23" t="n"/>
      <c r="F176" s="23" t="n"/>
      <c r="G176" s="18">
        <f>IF(OR($E176="",$F176=""),"",$E176-$F176)</f>
        <v/>
      </c>
      <c r="H176" s="24">
        <f>IF(OR($E176="",$E176=0,$G176=""),"",$G176/$E176)</f>
        <v/>
      </c>
      <c r="I176" s="22" t="n"/>
      <c r="J176" s="21" t="n"/>
      <c r="K176" s="21" t="n"/>
      <c r="L176" s="22" t="n"/>
    </row>
    <row r="177">
      <c r="B177" s="26">
        <f>IF($C177="","","RS-"&amp;TEXT(ROW()-4,"000"))</f>
        <v/>
      </c>
      <c r="C177" s="22" t="n"/>
      <c r="D177" s="22" t="n"/>
      <c r="E177" s="23" t="n"/>
      <c r="F177" s="23" t="n"/>
      <c r="G177" s="18">
        <f>IF(OR($E177="",$F177=""),"",$E177-$F177)</f>
        <v/>
      </c>
      <c r="H177" s="24">
        <f>IF(OR($E177="",$E177=0,$G177=""),"",$G177/$E177)</f>
        <v/>
      </c>
      <c r="I177" s="22" t="n"/>
      <c r="J177" s="21" t="n"/>
      <c r="K177" s="21" t="n"/>
      <c r="L177" s="22" t="n"/>
    </row>
    <row r="178">
      <c r="B178" s="26">
        <f>IF($C178="","","RS-"&amp;TEXT(ROW()-4,"000"))</f>
        <v/>
      </c>
      <c r="C178" s="22" t="n"/>
      <c r="D178" s="22" t="n"/>
      <c r="E178" s="23" t="n"/>
      <c r="F178" s="23" t="n"/>
      <c r="G178" s="18">
        <f>IF(OR($E178="",$F178=""),"",$E178-$F178)</f>
        <v/>
      </c>
      <c r="H178" s="24">
        <f>IF(OR($E178="",$E178=0,$G178=""),"",$G178/$E178)</f>
        <v/>
      </c>
      <c r="I178" s="22" t="n"/>
      <c r="J178" s="21" t="n"/>
      <c r="K178" s="21" t="n"/>
      <c r="L178" s="22" t="n"/>
    </row>
    <row r="179">
      <c r="B179" s="26">
        <f>IF($C179="","","RS-"&amp;TEXT(ROW()-4,"000"))</f>
        <v/>
      </c>
      <c r="C179" s="22" t="n"/>
      <c r="D179" s="22" t="n"/>
      <c r="E179" s="23" t="n"/>
      <c r="F179" s="23" t="n"/>
      <c r="G179" s="18">
        <f>IF(OR($E179="",$F179=""),"",$E179-$F179)</f>
        <v/>
      </c>
      <c r="H179" s="24">
        <f>IF(OR($E179="",$E179=0,$G179=""),"",$G179/$E179)</f>
        <v/>
      </c>
      <c r="I179" s="22" t="n"/>
      <c r="J179" s="21" t="n"/>
      <c r="K179" s="21" t="n"/>
      <c r="L179" s="22" t="n"/>
    </row>
    <row r="180">
      <c r="B180" s="26">
        <f>IF($C180="","","RS-"&amp;TEXT(ROW()-4,"000"))</f>
        <v/>
      </c>
      <c r="C180" s="22" t="n"/>
      <c r="D180" s="22" t="n"/>
      <c r="E180" s="23" t="n"/>
      <c r="F180" s="23" t="n"/>
      <c r="G180" s="18">
        <f>IF(OR($E180="",$F180=""),"",$E180-$F180)</f>
        <v/>
      </c>
      <c r="H180" s="24">
        <f>IF(OR($E180="",$E180=0,$G180=""),"",$G180/$E180)</f>
        <v/>
      </c>
      <c r="I180" s="22" t="n"/>
      <c r="J180" s="21" t="n"/>
      <c r="K180" s="21" t="n"/>
      <c r="L180" s="22" t="n"/>
    </row>
    <row r="181">
      <c r="B181" s="26">
        <f>IF($C181="","","RS-"&amp;TEXT(ROW()-4,"000"))</f>
        <v/>
      </c>
      <c r="C181" s="22" t="n"/>
      <c r="D181" s="22" t="n"/>
      <c r="E181" s="23" t="n"/>
      <c r="F181" s="23" t="n"/>
      <c r="G181" s="18">
        <f>IF(OR($E181="",$F181=""),"",$E181-$F181)</f>
        <v/>
      </c>
      <c r="H181" s="24">
        <f>IF(OR($E181="",$E181=0,$G181=""),"",$G181/$E181)</f>
        <v/>
      </c>
      <c r="I181" s="22" t="n"/>
      <c r="J181" s="21" t="n"/>
      <c r="K181" s="21" t="n"/>
      <c r="L181" s="22" t="n"/>
    </row>
    <row r="182">
      <c r="B182" s="26">
        <f>IF($C182="","","RS-"&amp;TEXT(ROW()-4,"000"))</f>
        <v/>
      </c>
      <c r="C182" s="22" t="n"/>
      <c r="D182" s="22" t="n"/>
      <c r="E182" s="23" t="n"/>
      <c r="F182" s="23" t="n"/>
      <c r="G182" s="18">
        <f>IF(OR($E182="",$F182=""),"",$E182-$F182)</f>
        <v/>
      </c>
      <c r="H182" s="24">
        <f>IF(OR($E182="",$E182=0,$G182=""),"",$G182/$E182)</f>
        <v/>
      </c>
      <c r="I182" s="22" t="n"/>
      <c r="J182" s="21" t="n"/>
      <c r="K182" s="21" t="n"/>
      <c r="L182" s="22" t="n"/>
    </row>
    <row r="183">
      <c r="B183" s="26">
        <f>IF($C183="","","RS-"&amp;TEXT(ROW()-4,"000"))</f>
        <v/>
      </c>
      <c r="C183" s="22" t="n"/>
      <c r="D183" s="22" t="n"/>
      <c r="E183" s="23" t="n"/>
      <c r="F183" s="23" t="n"/>
      <c r="G183" s="18">
        <f>IF(OR($E183="",$F183=""),"",$E183-$F183)</f>
        <v/>
      </c>
      <c r="H183" s="24">
        <f>IF(OR($E183="",$E183=0,$G183=""),"",$G183/$E183)</f>
        <v/>
      </c>
      <c r="I183" s="22" t="n"/>
      <c r="J183" s="21" t="n"/>
      <c r="K183" s="21" t="n"/>
      <c r="L183" s="22" t="n"/>
    </row>
    <row r="184">
      <c r="B184" s="26">
        <f>IF($C184="","","RS-"&amp;TEXT(ROW()-4,"000"))</f>
        <v/>
      </c>
      <c r="C184" s="22" t="n"/>
      <c r="D184" s="22" t="n"/>
      <c r="E184" s="23" t="n"/>
      <c r="F184" s="23" t="n"/>
      <c r="G184" s="18">
        <f>IF(OR($E184="",$F184=""),"",$E184-$F184)</f>
        <v/>
      </c>
      <c r="H184" s="24">
        <f>IF(OR($E184="",$E184=0,$G184=""),"",$G184/$E184)</f>
        <v/>
      </c>
      <c r="I184" s="22" t="n"/>
      <c r="J184" s="21" t="n"/>
      <c r="K184" s="21" t="n"/>
      <c r="L184" s="22" t="n"/>
    </row>
    <row r="185">
      <c r="B185" s="26">
        <f>IF($C185="","","RS-"&amp;TEXT(ROW()-4,"000"))</f>
        <v/>
      </c>
      <c r="C185" s="22" t="n"/>
      <c r="D185" s="22" t="n"/>
      <c r="E185" s="23" t="n"/>
      <c r="F185" s="23" t="n"/>
      <c r="G185" s="18">
        <f>IF(OR($E185="",$F185=""),"",$E185-$F185)</f>
        <v/>
      </c>
      <c r="H185" s="24">
        <f>IF(OR($E185="",$E185=0,$G185=""),"",$G185/$E185)</f>
        <v/>
      </c>
      <c r="I185" s="22" t="n"/>
      <c r="J185" s="21" t="n"/>
      <c r="K185" s="21" t="n"/>
      <c r="L185" s="22" t="n"/>
    </row>
    <row r="186">
      <c r="B186" s="26">
        <f>IF($C186="","","RS-"&amp;TEXT(ROW()-4,"000"))</f>
        <v/>
      </c>
      <c r="C186" s="22" t="n"/>
      <c r="D186" s="22" t="n"/>
      <c r="E186" s="23" t="n"/>
      <c r="F186" s="23" t="n"/>
      <c r="G186" s="18">
        <f>IF(OR($E186="",$F186=""),"",$E186-$F186)</f>
        <v/>
      </c>
      <c r="H186" s="24">
        <f>IF(OR($E186="",$E186=0,$G186=""),"",$G186/$E186)</f>
        <v/>
      </c>
      <c r="I186" s="22" t="n"/>
      <c r="J186" s="21" t="n"/>
      <c r="K186" s="21" t="n"/>
      <c r="L186" s="22" t="n"/>
    </row>
    <row r="187">
      <c r="B187" s="26">
        <f>IF($C187="","","RS-"&amp;TEXT(ROW()-4,"000"))</f>
        <v/>
      </c>
      <c r="C187" s="22" t="n"/>
      <c r="D187" s="22" t="n"/>
      <c r="E187" s="23" t="n"/>
      <c r="F187" s="23" t="n"/>
      <c r="G187" s="18">
        <f>IF(OR($E187="",$F187=""),"",$E187-$F187)</f>
        <v/>
      </c>
      <c r="H187" s="24">
        <f>IF(OR($E187="",$E187=0,$G187=""),"",$G187/$E187)</f>
        <v/>
      </c>
      <c r="I187" s="22" t="n"/>
      <c r="J187" s="21" t="n"/>
      <c r="K187" s="21" t="n"/>
      <c r="L187" s="22" t="n"/>
    </row>
    <row r="188">
      <c r="B188" s="26">
        <f>IF($C188="","","RS-"&amp;TEXT(ROW()-4,"000"))</f>
        <v/>
      </c>
      <c r="C188" s="22" t="n"/>
      <c r="D188" s="22" t="n"/>
      <c r="E188" s="23" t="n"/>
      <c r="F188" s="23" t="n"/>
      <c r="G188" s="18">
        <f>IF(OR($E188="",$F188=""),"",$E188-$F188)</f>
        <v/>
      </c>
      <c r="H188" s="24">
        <f>IF(OR($E188="",$E188=0,$G188=""),"",$G188/$E188)</f>
        <v/>
      </c>
      <c r="I188" s="22" t="n"/>
      <c r="J188" s="21" t="n"/>
      <c r="K188" s="21" t="n"/>
      <c r="L188" s="22" t="n"/>
    </row>
    <row r="189">
      <c r="B189" s="26">
        <f>IF($C189="","","RS-"&amp;TEXT(ROW()-4,"000"))</f>
        <v/>
      </c>
      <c r="C189" s="22" t="n"/>
      <c r="D189" s="22" t="n"/>
      <c r="E189" s="23" t="n"/>
      <c r="F189" s="23" t="n"/>
      <c r="G189" s="18">
        <f>IF(OR($E189="",$F189=""),"",$E189-$F189)</f>
        <v/>
      </c>
      <c r="H189" s="24">
        <f>IF(OR($E189="",$E189=0,$G189=""),"",$G189/$E189)</f>
        <v/>
      </c>
      <c r="I189" s="22" t="n"/>
      <c r="J189" s="21" t="n"/>
      <c r="K189" s="21" t="n"/>
      <c r="L189" s="22" t="n"/>
    </row>
    <row r="190">
      <c r="B190" s="26">
        <f>IF($C190="","","RS-"&amp;TEXT(ROW()-4,"000"))</f>
        <v/>
      </c>
      <c r="C190" s="22" t="n"/>
      <c r="D190" s="22" t="n"/>
      <c r="E190" s="23" t="n"/>
      <c r="F190" s="23" t="n"/>
      <c r="G190" s="18">
        <f>IF(OR($E190="",$F190=""),"",$E190-$F190)</f>
        <v/>
      </c>
      <c r="H190" s="24">
        <f>IF(OR($E190="",$E190=0,$G190=""),"",$G190/$E190)</f>
        <v/>
      </c>
      <c r="I190" s="22" t="n"/>
      <c r="J190" s="21" t="n"/>
      <c r="K190" s="21" t="n"/>
      <c r="L190" s="22" t="n"/>
    </row>
    <row r="191">
      <c r="B191" s="26">
        <f>IF($C191="","","RS-"&amp;TEXT(ROW()-4,"000"))</f>
        <v/>
      </c>
      <c r="C191" s="22" t="n"/>
      <c r="D191" s="22" t="n"/>
      <c r="E191" s="23" t="n"/>
      <c r="F191" s="23" t="n"/>
      <c r="G191" s="18">
        <f>IF(OR($E191="",$F191=""),"",$E191-$F191)</f>
        <v/>
      </c>
      <c r="H191" s="24">
        <f>IF(OR($E191="",$E191=0,$G191=""),"",$G191/$E191)</f>
        <v/>
      </c>
      <c r="I191" s="22" t="n"/>
      <c r="J191" s="21" t="n"/>
      <c r="K191" s="21" t="n"/>
      <c r="L191" s="22" t="n"/>
    </row>
    <row r="192">
      <c r="B192" s="26">
        <f>IF($C192="","","RS-"&amp;TEXT(ROW()-4,"000"))</f>
        <v/>
      </c>
      <c r="C192" s="22" t="n"/>
      <c r="D192" s="22" t="n"/>
      <c r="E192" s="23" t="n"/>
      <c r="F192" s="23" t="n"/>
      <c r="G192" s="18">
        <f>IF(OR($E192="",$F192=""),"",$E192-$F192)</f>
        <v/>
      </c>
      <c r="H192" s="24">
        <f>IF(OR($E192="",$E192=0,$G192=""),"",$G192/$E192)</f>
        <v/>
      </c>
      <c r="I192" s="22" t="n"/>
      <c r="J192" s="21" t="n"/>
      <c r="K192" s="21" t="n"/>
      <c r="L192" s="22" t="n"/>
    </row>
    <row r="193">
      <c r="B193" s="26">
        <f>IF($C193="","","RS-"&amp;TEXT(ROW()-4,"000"))</f>
        <v/>
      </c>
      <c r="C193" s="22" t="n"/>
      <c r="D193" s="22" t="n"/>
      <c r="E193" s="23" t="n"/>
      <c r="F193" s="23" t="n"/>
      <c r="G193" s="18">
        <f>IF(OR($E193="",$F193=""),"",$E193-$F193)</f>
        <v/>
      </c>
      <c r="H193" s="24">
        <f>IF(OR($E193="",$E193=0,$G193=""),"",$G193/$E193)</f>
        <v/>
      </c>
      <c r="I193" s="22" t="n"/>
      <c r="J193" s="21" t="n"/>
      <c r="K193" s="21" t="n"/>
      <c r="L193" s="22" t="n"/>
    </row>
    <row r="194">
      <c r="B194" s="26">
        <f>IF($C194="","","RS-"&amp;TEXT(ROW()-4,"000"))</f>
        <v/>
      </c>
      <c r="C194" s="22" t="n"/>
      <c r="D194" s="22" t="n"/>
      <c r="E194" s="23" t="n"/>
      <c r="F194" s="23" t="n"/>
      <c r="G194" s="18">
        <f>IF(OR($E194="",$F194=""),"",$E194-$F194)</f>
        <v/>
      </c>
      <c r="H194" s="24">
        <f>IF(OR($E194="",$E194=0,$G194=""),"",$G194/$E194)</f>
        <v/>
      </c>
      <c r="I194" s="22" t="n"/>
      <c r="J194" s="21" t="n"/>
      <c r="K194" s="21" t="n"/>
      <c r="L194" s="22" t="n"/>
    </row>
    <row r="195">
      <c r="B195" s="26">
        <f>IF($C195="","","RS-"&amp;TEXT(ROW()-4,"000"))</f>
        <v/>
      </c>
      <c r="C195" s="22" t="n"/>
      <c r="D195" s="22" t="n"/>
      <c r="E195" s="23" t="n"/>
      <c r="F195" s="23" t="n"/>
      <c r="G195" s="18">
        <f>IF(OR($E195="",$F195=""),"",$E195-$F195)</f>
        <v/>
      </c>
      <c r="H195" s="24">
        <f>IF(OR($E195="",$E195=0,$G195=""),"",$G195/$E195)</f>
        <v/>
      </c>
      <c r="I195" s="22" t="n"/>
      <c r="J195" s="21" t="n"/>
      <c r="K195" s="21" t="n"/>
      <c r="L195" s="22" t="n"/>
    </row>
    <row r="196">
      <c r="B196" s="26">
        <f>IF($C196="","","RS-"&amp;TEXT(ROW()-4,"000"))</f>
        <v/>
      </c>
      <c r="C196" s="22" t="n"/>
      <c r="D196" s="22" t="n"/>
      <c r="E196" s="23" t="n"/>
      <c r="F196" s="23" t="n"/>
      <c r="G196" s="18">
        <f>IF(OR($E196="",$F196=""),"",$E196-$F196)</f>
        <v/>
      </c>
      <c r="H196" s="24">
        <f>IF(OR($E196="",$E196=0,$G196=""),"",$G196/$E196)</f>
        <v/>
      </c>
      <c r="I196" s="22" t="n"/>
      <c r="J196" s="21" t="n"/>
      <c r="K196" s="21" t="n"/>
      <c r="L196" s="22" t="n"/>
    </row>
    <row r="197">
      <c r="B197" s="26">
        <f>IF($C197="","","RS-"&amp;TEXT(ROW()-4,"000"))</f>
        <v/>
      </c>
      <c r="C197" s="22" t="n"/>
      <c r="D197" s="22" t="n"/>
      <c r="E197" s="23" t="n"/>
      <c r="F197" s="23" t="n"/>
      <c r="G197" s="18">
        <f>IF(OR($E197="",$F197=""),"",$E197-$F197)</f>
        <v/>
      </c>
      <c r="H197" s="24">
        <f>IF(OR($E197="",$E197=0,$G197=""),"",$G197/$E197)</f>
        <v/>
      </c>
      <c r="I197" s="22" t="n"/>
      <c r="J197" s="21" t="n"/>
      <c r="K197" s="21" t="n"/>
      <c r="L197" s="22" t="n"/>
    </row>
    <row r="198">
      <c r="B198" s="26">
        <f>IF($C198="","","RS-"&amp;TEXT(ROW()-4,"000"))</f>
        <v/>
      </c>
      <c r="C198" s="22" t="n"/>
      <c r="D198" s="22" t="n"/>
      <c r="E198" s="23" t="n"/>
      <c r="F198" s="23" t="n"/>
      <c r="G198" s="18">
        <f>IF(OR($E198="",$F198=""),"",$E198-$F198)</f>
        <v/>
      </c>
      <c r="H198" s="24">
        <f>IF(OR($E198="",$E198=0,$G198=""),"",$G198/$E198)</f>
        <v/>
      </c>
      <c r="I198" s="22" t="n"/>
      <c r="J198" s="21" t="n"/>
      <c r="K198" s="21" t="n"/>
      <c r="L198" s="22" t="n"/>
    </row>
    <row r="199">
      <c r="B199" s="26">
        <f>IF($C199="","","RS-"&amp;TEXT(ROW()-4,"000"))</f>
        <v/>
      </c>
      <c r="C199" s="22" t="n"/>
      <c r="D199" s="22" t="n"/>
      <c r="E199" s="23" t="n"/>
      <c r="F199" s="23" t="n"/>
      <c r="G199" s="18">
        <f>IF(OR($E199="",$F199=""),"",$E199-$F199)</f>
        <v/>
      </c>
      <c r="H199" s="24">
        <f>IF(OR($E199="",$E199=0,$G199=""),"",$G199/$E199)</f>
        <v/>
      </c>
      <c r="I199" s="22" t="n"/>
      <c r="J199" s="21" t="n"/>
      <c r="K199" s="21" t="n"/>
      <c r="L199" s="22" t="n"/>
    </row>
    <row r="200">
      <c r="B200" s="26">
        <f>IF($C200="","","RS-"&amp;TEXT(ROW()-4,"000"))</f>
        <v/>
      </c>
      <c r="C200" s="22" t="n"/>
      <c r="D200" s="22" t="n"/>
      <c r="E200" s="23" t="n"/>
      <c r="F200" s="23" t="n"/>
      <c r="G200" s="18">
        <f>IF(OR($E200="",$F200=""),"",$E200-$F200)</f>
        <v/>
      </c>
      <c r="H200" s="24">
        <f>IF(OR($E200="",$E200=0,$G200=""),"",$G200/$E200)</f>
        <v/>
      </c>
      <c r="I200" s="22" t="n"/>
      <c r="J200" s="21" t="n"/>
      <c r="K200" s="21" t="n"/>
      <c r="L200" s="22" t="n"/>
    </row>
    <row r="201">
      <c r="B201" s="26">
        <f>IF($C201="","","RS-"&amp;TEXT(ROW()-4,"000"))</f>
        <v/>
      </c>
      <c r="C201" s="22" t="n"/>
      <c r="D201" s="22" t="n"/>
      <c r="E201" s="23" t="n"/>
      <c r="F201" s="23" t="n"/>
      <c r="G201" s="18">
        <f>IF(OR($E201="",$F201=""),"",$E201-$F201)</f>
        <v/>
      </c>
      <c r="H201" s="24">
        <f>IF(OR($E201="",$E201=0,$G201=""),"",$G201/$E201)</f>
        <v/>
      </c>
      <c r="I201" s="22" t="n"/>
      <c r="J201" s="21" t="n"/>
      <c r="K201" s="21" t="n"/>
      <c r="L201" s="22" t="n"/>
    </row>
    <row r="202">
      <c r="B202" s="26">
        <f>IF($C202="","","RS-"&amp;TEXT(ROW()-4,"000"))</f>
        <v/>
      </c>
      <c r="C202" s="22" t="n"/>
      <c r="D202" s="22" t="n"/>
      <c r="E202" s="23" t="n"/>
      <c r="F202" s="23" t="n"/>
      <c r="G202" s="18">
        <f>IF(OR($E202="",$F202=""),"",$E202-$F202)</f>
        <v/>
      </c>
      <c r="H202" s="24">
        <f>IF(OR($E202="",$E202=0,$G202=""),"",$G202/$E202)</f>
        <v/>
      </c>
      <c r="I202" s="22" t="n"/>
      <c r="J202" s="21" t="n"/>
      <c r="K202" s="21" t="n"/>
      <c r="L202" s="22" t="n"/>
    </row>
    <row r="203">
      <c r="B203" s="26">
        <f>IF($C203="","","RS-"&amp;TEXT(ROW()-4,"000"))</f>
        <v/>
      </c>
      <c r="C203" s="22" t="n"/>
      <c r="D203" s="22" t="n"/>
      <c r="E203" s="23" t="n"/>
      <c r="F203" s="23" t="n"/>
      <c r="G203" s="18">
        <f>IF(OR($E203="",$F203=""),"",$E203-$F203)</f>
        <v/>
      </c>
      <c r="H203" s="24">
        <f>IF(OR($E203="",$E203=0,$G203=""),"",$G203/$E203)</f>
        <v/>
      </c>
      <c r="I203" s="22" t="n"/>
      <c r="J203" s="21" t="n"/>
      <c r="K203" s="21" t="n"/>
      <c r="L203" s="22" t="n"/>
    </row>
    <row r="204">
      <c r="B204" s="26">
        <f>IF($C204="","","RS-"&amp;TEXT(ROW()-4,"000"))</f>
        <v/>
      </c>
      <c r="C204" s="22" t="n"/>
      <c r="D204" s="22" t="n"/>
      <c r="E204" s="23" t="n"/>
      <c r="F204" s="23" t="n"/>
      <c r="G204" s="18">
        <f>IF(OR($E204="",$F204=""),"",$E204-$F204)</f>
        <v/>
      </c>
      <c r="H204" s="24">
        <f>IF(OR($E204="",$E204=0,$G204=""),"",$G204/$E204)</f>
        <v/>
      </c>
      <c r="I204" s="22" t="n"/>
      <c r="J204" s="21" t="n"/>
      <c r="K204" s="21" t="n"/>
      <c r="L204" s="22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B4:L204"/>
  <mergeCells count="2">
    <mergeCell ref="B2:L2"/>
    <mergeCell ref="B3:L3"/>
  </mergeCells>
  <dataValidations count="2">
    <dataValidation sqref="D5:D204" showDropDown="0" showInputMessage="0" showErrorMessage="0" allowBlank="1" type="list">
      <formula1>Settings!$C$10:$C$13</formula1>
    </dataValidation>
    <dataValidation sqref="I5:I204" showDropDown="0" showInputMessage="0" showErrorMessage="0" allowBlank="1" type="list">
      <formula1>Settings!$J$10:$J$11</formula1>
    </dataValidation>
  </dataValidations>
  <hyperlinks>
    <hyperlink ref="B1" location="'Start Here'!A1"/>
    <hyperlink ref="D1" location="'Dashboard'!A1"/>
    <hyperlink ref="F1" location="'Pipeline'!A1"/>
    <hyperlink ref="H1" location="'Jobs'!A1"/>
    <hyperlink ref="J1" location="'Invoices'!A1"/>
    <hyperlink ref="L1" location="'Settings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9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1" customWidth="1" min="11" max="11"/>
    <col width="12" customWidth="1" min="12" max="12"/>
    <col width="28" customWidth="1" min="13" max="13"/>
  </cols>
  <sheetData>
    <row r="1" ht="15" customHeight="1">
      <c r="B1" s="2" t="inlineStr">
        <is>
          <t>Start</t>
        </is>
      </c>
      <c r="D1" s="2" t="inlineStr">
        <is>
          <t>Dashboard</t>
        </is>
      </c>
      <c r="F1" s="2" t="inlineStr">
        <is>
          <t>Pipeline</t>
        </is>
      </c>
      <c r="H1" s="2" t="inlineStr">
        <is>
          <t>Jobs</t>
        </is>
      </c>
      <c r="J1" s="1" t="inlineStr">
        <is>
          <t>Invoices</t>
        </is>
      </c>
      <c r="L1" s="2" t="inlineStr">
        <is>
          <t>Settings</t>
        </is>
      </c>
    </row>
    <row r="2" ht="24" customHeight="1">
      <c r="B2" s="11" t="inlineStr">
        <is>
          <t xml:space="preserve">  INVOICES — who owes you money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16" customHeight="1">
      <c r="B3" s="5" t="inlineStr">
        <is>
          <t xml:space="preserve">  Balance, status and days overdue fill themselves. Overdue rows turn red, paid rows green.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B4" s="20" t="inlineStr">
        <is>
          <t>Invoice #</t>
        </is>
      </c>
      <c r="C4" s="20" t="inlineStr">
        <is>
          <t>Client</t>
        </is>
      </c>
      <c r="D4" s="20" t="inlineStr">
        <is>
          <t>Job ref</t>
        </is>
      </c>
      <c r="E4" s="20" t="inlineStr">
        <is>
          <t>Invoice date</t>
        </is>
      </c>
      <c r="F4" s="20" t="inlineStr">
        <is>
          <t>Amount AED</t>
        </is>
      </c>
      <c r="G4" s="20" t="inlineStr">
        <is>
          <t>Paid AED</t>
        </is>
      </c>
      <c r="H4" s="20" t="inlineStr">
        <is>
          <t>Paid date</t>
        </is>
      </c>
      <c r="I4" s="20" t="inlineStr">
        <is>
          <t>Balance AED</t>
        </is>
      </c>
      <c r="J4" s="20" t="inlineStr">
        <is>
          <t>Due date</t>
        </is>
      </c>
      <c r="K4" s="20" t="inlineStr">
        <is>
          <t>Status</t>
        </is>
      </c>
      <c r="L4" s="20" t="inlineStr">
        <is>
          <t>Days overdue</t>
        </is>
      </c>
      <c r="M4" s="20" t="inlineStr">
        <is>
          <t>Notes</t>
        </is>
      </c>
    </row>
    <row r="5">
      <c r="B5" s="22" t="inlineStr">
        <is>
          <t>INV-2026-041</t>
        </is>
      </c>
      <c r="C5" s="22" t="inlineStr">
        <is>
          <t>Zaitoon Grill House</t>
        </is>
      </c>
      <c r="D5" s="22" t="inlineStr">
        <is>
          <t>RS-004</t>
        </is>
      </c>
      <c r="E5" s="21" t="n">
        <v>46124</v>
      </c>
      <c r="F5" s="23" t="n">
        <v>27500</v>
      </c>
      <c r="G5" s="23" t="n">
        <v>27500</v>
      </c>
      <c r="H5" s="21" t="n">
        <v>46147</v>
      </c>
      <c r="I5" s="18">
        <f>IF($F5="","",$F5-N($G5))</f>
        <v/>
      </c>
      <c r="J5" s="21" t="n">
        <v>46152</v>
      </c>
      <c r="K5">
        <f>IF($F5="","",IF($I5&lt;=0,"Paid",IF(AND($J5&lt;&gt;"",TODAY()&gt;$J5),"Overdue",IF(N($G5)&gt;0,"Partial","Upcoming"))))</f>
        <v/>
      </c>
      <c r="L5" s="27">
        <f>IF(OR($F5="",$I5&lt;=0,$J5=""),"",IF(TODAY()&gt;$J5,TODAY()-$J5,""))</f>
        <v/>
      </c>
      <c r="M5" s="22" t="inlineStr">
        <is>
          <t>Closed</t>
        </is>
      </c>
    </row>
    <row r="6">
      <c r="B6" s="22" t="inlineStr">
        <is>
          <t>INV-2026-042</t>
        </is>
      </c>
      <c r="C6" s="22" t="inlineStr">
        <is>
          <t>Blue Pearl Spa</t>
        </is>
      </c>
      <c r="D6" s="22" t="inlineStr">
        <is>
          <t>RS-003</t>
        </is>
      </c>
      <c r="E6" s="21" t="n">
        <v>46148</v>
      </c>
      <c r="F6" s="23" t="n">
        <v>9500</v>
      </c>
      <c r="G6" s="23" t="n">
        <v>9500</v>
      </c>
      <c r="H6" s="21" t="n">
        <v>46170</v>
      </c>
      <c r="I6" s="18">
        <f>IF($F6="","",$F6-N($G6))</f>
        <v/>
      </c>
      <c r="J6" s="21" t="n">
        <v>46174</v>
      </c>
      <c r="K6">
        <f>IF($F6="","",IF($I6&lt;=0,"Paid",IF(AND($J6&lt;&gt;"",TODAY()&gt;$J6),"Overdue",IF(N($G6)&gt;0,"Partial","Upcoming"))))</f>
        <v/>
      </c>
      <c r="L6" s="27">
        <f>IF(OR($F6="",$I6&lt;=0,$J6=""),"",IF(TODAY()&gt;$J6,TODAY()-$J6,""))</f>
        <v/>
      </c>
      <c r="M6" s="22" t="inlineStr">
        <is>
          <t>Closed</t>
        </is>
      </c>
    </row>
    <row r="7">
      <c r="B7" s="22" t="inlineStr">
        <is>
          <t>INV-2026-043</t>
        </is>
      </c>
      <c r="C7" s="22" t="inlineStr">
        <is>
          <t>Emirates Hills Villa 27</t>
        </is>
      </c>
      <c r="D7" s="22" t="inlineStr">
        <is>
          <t>RS-002</t>
        </is>
      </c>
      <c r="E7" s="21" t="n">
        <v>46174</v>
      </c>
      <c r="F7" s="23" t="n">
        <v>70000</v>
      </c>
      <c r="G7" s="23" t="n">
        <v>35000</v>
      </c>
      <c r="H7" s="21" t="n">
        <v>46193</v>
      </c>
      <c r="I7" s="18">
        <f>IF($F7="","",$F7-N($G7))</f>
        <v/>
      </c>
      <c r="J7" s="21" t="n">
        <v>46188</v>
      </c>
      <c r="K7">
        <f>IF($F7="","",IF($I7&lt;=0,"Paid",IF(AND($J7&lt;&gt;"",TODAY()&gt;$J7),"Overdue",IF(N($G7)&gt;0,"Partial","Upcoming"))))</f>
        <v/>
      </c>
      <c r="L7" s="27">
        <f>IF(OR($F7="",$I7&lt;=0,$J7=""),"",IF(TODAY()&gt;$J7,TODAY()-$J7,""))</f>
        <v/>
      </c>
      <c r="M7" s="22" t="inlineStr">
        <is>
          <t>Progress payment 1 of 2</t>
        </is>
      </c>
    </row>
    <row r="8">
      <c r="B8" s="22" t="inlineStr">
        <is>
          <t>INV-2026-044</t>
        </is>
      </c>
      <c r="C8" s="22" t="inlineStr">
        <is>
          <t>Kaya Beach Restaurant</t>
        </is>
      </c>
      <c r="D8" s="22" t="inlineStr">
        <is>
          <t>RS-001</t>
        </is>
      </c>
      <c r="E8" s="21" t="n">
        <v>46195</v>
      </c>
      <c r="F8" s="23" t="n">
        <v>10500</v>
      </c>
      <c r="G8" s="23" t="n">
        <v>0</v>
      </c>
      <c r="H8" s="21" t="n"/>
      <c r="I8" s="18">
        <f>IF($F8="","",$F8-N($G8))</f>
        <v/>
      </c>
      <c r="J8" s="21" t="n">
        <v>46201</v>
      </c>
      <c r="K8">
        <f>IF($F8="","",IF($I8&lt;=0,"Paid",IF(AND($J8&lt;&gt;"",TODAY()&gt;$J8),"Overdue",IF(N($G8)&gt;0,"Partial","Upcoming"))))</f>
        <v/>
      </c>
      <c r="L8" s="27">
        <f>IF(OR($F8="",$I8&lt;=0,$J8=""),"",IF(TODAY()&gt;$J8,TODAY()-$J8,""))</f>
        <v/>
      </c>
      <c r="M8" s="22" t="inlineStr">
        <is>
          <t>50% advance - chase</t>
        </is>
      </c>
    </row>
    <row r="9">
      <c r="B9" s="22" t="inlineStr">
        <is>
          <t>INV-2026-045</t>
        </is>
      </c>
      <c r="C9" s="22" t="inlineStr">
        <is>
          <t>Coral Bay Dental</t>
        </is>
      </c>
      <c r="D9" s="22" t="inlineStr">
        <is>
          <t>RS-005</t>
        </is>
      </c>
      <c r="E9" s="21" t="n">
        <v>46206</v>
      </c>
      <c r="F9" s="23" t="n">
        <v>2900</v>
      </c>
      <c r="G9" s="23" t="n">
        <v>1500</v>
      </c>
      <c r="H9" s="21" t="n">
        <v>46207</v>
      </c>
      <c r="I9" s="18">
        <f>IF($F9="","",$F9-N($G9))</f>
        <v/>
      </c>
      <c r="J9" s="21" t="n">
        <v>46223</v>
      </c>
      <c r="K9">
        <f>IF($F9="","",IF($I9&lt;=0,"Paid",IF(AND($J9&lt;&gt;"",TODAY()&gt;$J9),"Overdue",IF(N($G9)&gt;0,"Partial","Upcoming"))))</f>
        <v/>
      </c>
      <c r="L9" s="27">
        <f>IF(OR($F9="",$I9&lt;=0,$J9=""),"",IF(TODAY()&gt;$J9,TODAY()-$J9,""))</f>
        <v/>
      </c>
      <c r="M9" s="22" t="inlineStr">
        <is>
          <t>Deposit received</t>
        </is>
      </c>
    </row>
    <row r="10">
      <c r="B10" s="22" t="inlineStr">
        <is>
          <t>INV-2026-046</t>
        </is>
      </c>
      <c r="C10" s="22" t="inlineStr">
        <is>
          <t>Emirates Hills Villa 27</t>
        </is>
      </c>
      <c r="D10" s="22" t="inlineStr">
        <is>
          <t>RS-002</t>
        </is>
      </c>
      <c r="E10" s="21" t="n">
        <v>46204</v>
      </c>
      <c r="F10" s="23" t="n">
        <v>35000</v>
      </c>
      <c r="G10" s="23" t="n">
        <v>0</v>
      </c>
      <c r="H10" s="21" t="n"/>
      <c r="I10" s="18">
        <f>IF($F10="","",$F10-N($G10))</f>
        <v/>
      </c>
      <c r="J10" s="21" t="n">
        <v>46228</v>
      </c>
      <c r="K10">
        <f>IF($F10="","",IF($I10&lt;=0,"Paid",IF(AND($J10&lt;&gt;"",TODAY()&gt;$J10),"Overdue",IF(N($G10)&gt;0,"Partial","Upcoming"))))</f>
        <v/>
      </c>
      <c r="L10" s="27">
        <f>IF(OR($F10="",$I10&lt;=0,$J10=""),"",IF(TODAY()&gt;$J10,TODAY()-$J10,""))</f>
        <v/>
      </c>
      <c r="M10" s="22" t="inlineStr">
        <is>
          <t>Progress payment 2 of 2</t>
        </is>
      </c>
    </row>
    <row r="11">
      <c r="B11" s="22" t="n"/>
      <c r="C11" s="22" t="n"/>
      <c r="D11" s="22" t="n"/>
      <c r="E11" s="21" t="n"/>
      <c r="F11" s="23" t="n"/>
      <c r="G11" s="23" t="n"/>
      <c r="H11" s="21" t="n"/>
      <c r="I11" s="18">
        <f>IF($F11="","",$F11-N($G11))</f>
        <v/>
      </c>
      <c r="J11" s="21" t="n"/>
      <c r="K11">
        <f>IF($F11="","",IF($I11&lt;=0,"Paid",IF(AND($J11&lt;&gt;"",TODAY()&gt;$J11),"Overdue",IF(N($G11)&gt;0,"Partial","Upcoming"))))</f>
        <v/>
      </c>
      <c r="L11" s="27">
        <f>IF(OR($F11="",$I11&lt;=0,$J11=""),"",IF(TODAY()&gt;$J11,TODAY()-$J11,""))</f>
        <v/>
      </c>
      <c r="M11" s="22" t="n"/>
    </row>
    <row r="12">
      <c r="B12" s="22" t="n"/>
      <c r="C12" s="22" t="n"/>
      <c r="D12" s="22" t="n"/>
      <c r="E12" s="21" t="n"/>
      <c r="F12" s="23" t="n"/>
      <c r="G12" s="23" t="n"/>
      <c r="H12" s="21" t="n"/>
      <c r="I12" s="18">
        <f>IF($F12="","",$F12-N($G12))</f>
        <v/>
      </c>
      <c r="J12" s="21" t="n"/>
      <c r="K12">
        <f>IF($F12="","",IF($I12&lt;=0,"Paid",IF(AND($J12&lt;&gt;"",TODAY()&gt;$J12),"Overdue",IF(N($G12)&gt;0,"Partial","Upcoming"))))</f>
        <v/>
      </c>
      <c r="L12" s="27">
        <f>IF(OR($F12="",$I12&lt;=0,$J12=""),"",IF(TODAY()&gt;$J12,TODAY()-$J12,""))</f>
        <v/>
      </c>
      <c r="M12" s="22" t="n"/>
    </row>
    <row r="13">
      <c r="B13" s="22" t="n"/>
      <c r="C13" s="22" t="n"/>
      <c r="D13" s="22" t="n"/>
      <c r="E13" s="21" t="n"/>
      <c r="F13" s="23" t="n"/>
      <c r="G13" s="23" t="n"/>
      <c r="H13" s="21" t="n"/>
      <c r="I13" s="18">
        <f>IF($F13="","",$F13-N($G13))</f>
        <v/>
      </c>
      <c r="J13" s="21" t="n"/>
      <c r="K13">
        <f>IF($F13="","",IF($I13&lt;=0,"Paid",IF(AND($J13&lt;&gt;"",TODAY()&gt;$J13),"Overdue",IF(N($G13)&gt;0,"Partial","Upcoming"))))</f>
        <v/>
      </c>
      <c r="L13" s="27">
        <f>IF(OR($F13="",$I13&lt;=0,$J13=""),"",IF(TODAY()&gt;$J13,TODAY()-$J13,""))</f>
        <v/>
      </c>
      <c r="M13" s="22" t="n"/>
    </row>
    <row r="14">
      <c r="B14" s="22" t="n"/>
      <c r="C14" s="22" t="n"/>
      <c r="D14" s="22" t="n"/>
      <c r="E14" s="21" t="n"/>
      <c r="F14" s="23" t="n"/>
      <c r="G14" s="23" t="n"/>
      <c r="H14" s="21" t="n"/>
      <c r="I14" s="18">
        <f>IF($F14="","",$F14-N($G14))</f>
        <v/>
      </c>
      <c r="J14" s="21" t="n"/>
      <c r="K14">
        <f>IF($F14="","",IF($I14&lt;=0,"Paid",IF(AND($J14&lt;&gt;"",TODAY()&gt;$J14),"Overdue",IF(N($G14)&gt;0,"Partial","Upcoming"))))</f>
        <v/>
      </c>
      <c r="L14" s="27">
        <f>IF(OR($F14="",$I14&lt;=0,$J14=""),"",IF(TODAY()&gt;$J14,TODAY()-$J14,""))</f>
        <v/>
      </c>
      <c r="M14" s="22" t="n"/>
    </row>
    <row r="15">
      <c r="B15" s="22" t="n"/>
      <c r="C15" s="22" t="n"/>
      <c r="D15" s="22" t="n"/>
      <c r="E15" s="21" t="n"/>
      <c r="F15" s="23" t="n"/>
      <c r="G15" s="23" t="n"/>
      <c r="H15" s="21" t="n"/>
      <c r="I15" s="18">
        <f>IF($F15="","",$F15-N($G15))</f>
        <v/>
      </c>
      <c r="J15" s="21" t="n"/>
      <c r="K15">
        <f>IF($F15="","",IF($I15&lt;=0,"Paid",IF(AND($J15&lt;&gt;"",TODAY()&gt;$J15),"Overdue",IF(N($G15)&gt;0,"Partial","Upcoming"))))</f>
        <v/>
      </c>
      <c r="L15" s="27">
        <f>IF(OR($F15="",$I15&lt;=0,$J15=""),"",IF(TODAY()&gt;$J15,TODAY()-$J15,""))</f>
        <v/>
      </c>
      <c r="M15" s="22" t="n"/>
    </row>
    <row r="16">
      <c r="B16" s="22" t="n"/>
      <c r="C16" s="22" t="n"/>
      <c r="D16" s="22" t="n"/>
      <c r="E16" s="21" t="n"/>
      <c r="F16" s="23" t="n"/>
      <c r="G16" s="23" t="n"/>
      <c r="H16" s="21" t="n"/>
      <c r="I16" s="18">
        <f>IF($F16="","",$F16-N($G16))</f>
        <v/>
      </c>
      <c r="J16" s="21" t="n"/>
      <c r="K16">
        <f>IF($F16="","",IF($I16&lt;=0,"Paid",IF(AND($J16&lt;&gt;"",TODAY()&gt;$J16),"Overdue",IF(N($G16)&gt;0,"Partial","Upcoming"))))</f>
        <v/>
      </c>
      <c r="L16" s="27">
        <f>IF(OR($F16="",$I16&lt;=0,$J16=""),"",IF(TODAY()&gt;$J16,TODAY()-$J16,""))</f>
        <v/>
      </c>
      <c r="M16" s="22" t="n"/>
    </row>
    <row r="17">
      <c r="B17" s="22" t="n"/>
      <c r="C17" s="22" t="n"/>
      <c r="D17" s="22" t="n"/>
      <c r="E17" s="21" t="n"/>
      <c r="F17" s="23" t="n"/>
      <c r="G17" s="23" t="n"/>
      <c r="H17" s="21" t="n"/>
      <c r="I17" s="18">
        <f>IF($F17="","",$F17-N($G17))</f>
        <v/>
      </c>
      <c r="J17" s="21" t="n"/>
      <c r="K17">
        <f>IF($F17="","",IF($I17&lt;=0,"Paid",IF(AND($J17&lt;&gt;"",TODAY()&gt;$J17),"Overdue",IF(N($G17)&gt;0,"Partial","Upcoming"))))</f>
        <v/>
      </c>
      <c r="L17" s="27">
        <f>IF(OR($F17="",$I17&lt;=0,$J17=""),"",IF(TODAY()&gt;$J17,TODAY()-$J17,""))</f>
        <v/>
      </c>
      <c r="M17" s="22" t="n"/>
    </row>
    <row r="18">
      <c r="B18" s="22" t="n"/>
      <c r="C18" s="22" t="n"/>
      <c r="D18" s="22" t="n"/>
      <c r="E18" s="21" t="n"/>
      <c r="F18" s="23" t="n"/>
      <c r="G18" s="23" t="n"/>
      <c r="H18" s="21" t="n"/>
      <c r="I18" s="18">
        <f>IF($F18="","",$F18-N($G18))</f>
        <v/>
      </c>
      <c r="J18" s="21" t="n"/>
      <c r="K18">
        <f>IF($F18="","",IF($I18&lt;=0,"Paid",IF(AND($J18&lt;&gt;"",TODAY()&gt;$J18),"Overdue",IF(N($G18)&gt;0,"Partial","Upcoming"))))</f>
        <v/>
      </c>
      <c r="L18" s="27">
        <f>IF(OR($F18="",$I18&lt;=0,$J18=""),"",IF(TODAY()&gt;$J18,TODAY()-$J18,""))</f>
        <v/>
      </c>
      <c r="M18" s="22" t="n"/>
    </row>
    <row r="19">
      <c r="B19" s="22" t="n"/>
      <c r="C19" s="22" t="n"/>
      <c r="D19" s="22" t="n"/>
      <c r="E19" s="21" t="n"/>
      <c r="F19" s="23" t="n"/>
      <c r="G19" s="23" t="n"/>
      <c r="H19" s="21" t="n"/>
      <c r="I19" s="18">
        <f>IF($F19="","",$F19-N($G19))</f>
        <v/>
      </c>
      <c r="J19" s="21" t="n"/>
      <c r="K19">
        <f>IF($F19="","",IF($I19&lt;=0,"Paid",IF(AND($J19&lt;&gt;"",TODAY()&gt;$J19),"Overdue",IF(N($G19)&gt;0,"Partial","Upcoming"))))</f>
        <v/>
      </c>
      <c r="L19" s="27">
        <f>IF(OR($F19="",$I19&lt;=0,$J19=""),"",IF(TODAY()&gt;$J19,TODAY()-$J19,""))</f>
        <v/>
      </c>
      <c r="M19" s="22" t="n"/>
    </row>
    <row r="20">
      <c r="B20" s="22" t="n"/>
      <c r="C20" s="22" t="n"/>
      <c r="D20" s="22" t="n"/>
      <c r="E20" s="21" t="n"/>
      <c r="F20" s="23" t="n"/>
      <c r="G20" s="23" t="n"/>
      <c r="H20" s="21" t="n"/>
      <c r="I20" s="18">
        <f>IF($F20="","",$F20-N($G20))</f>
        <v/>
      </c>
      <c r="J20" s="21" t="n"/>
      <c r="K20">
        <f>IF($F20="","",IF($I20&lt;=0,"Paid",IF(AND($J20&lt;&gt;"",TODAY()&gt;$J20),"Overdue",IF(N($G20)&gt;0,"Partial","Upcoming"))))</f>
        <v/>
      </c>
      <c r="L20" s="27">
        <f>IF(OR($F20="",$I20&lt;=0,$J20=""),"",IF(TODAY()&gt;$J20,TODAY()-$J20,""))</f>
        <v/>
      </c>
      <c r="M20" s="22" t="n"/>
    </row>
    <row r="21">
      <c r="B21" s="22" t="n"/>
      <c r="C21" s="22" t="n"/>
      <c r="D21" s="22" t="n"/>
      <c r="E21" s="21" t="n"/>
      <c r="F21" s="23" t="n"/>
      <c r="G21" s="23" t="n"/>
      <c r="H21" s="21" t="n"/>
      <c r="I21" s="18">
        <f>IF($F21="","",$F21-N($G21))</f>
        <v/>
      </c>
      <c r="J21" s="21" t="n"/>
      <c r="K21">
        <f>IF($F21="","",IF($I21&lt;=0,"Paid",IF(AND($J21&lt;&gt;"",TODAY()&gt;$J21),"Overdue",IF(N($G21)&gt;0,"Partial","Upcoming"))))</f>
        <v/>
      </c>
      <c r="L21" s="27">
        <f>IF(OR($F21="",$I21&lt;=0,$J21=""),"",IF(TODAY()&gt;$J21,TODAY()-$J21,""))</f>
        <v/>
      </c>
      <c r="M21" s="22" t="n"/>
    </row>
    <row r="22">
      <c r="B22" s="22" t="n"/>
      <c r="C22" s="22" t="n"/>
      <c r="D22" s="22" t="n"/>
      <c r="E22" s="21" t="n"/>
      <c r="F22" s="23" t="n"/>
      <c r="G22" s="23" t="n"/>
      <c r="H22" s="21" t="n"/>
      <c r="I22" s="18">
        <f>IF($F22="","",$F22-N($G22))</f>
        <v/>
      </c>
      <c r="J22" s="21" t="n"/>
      <c r="K22">
        <f>IF($F22="","",IF($I22&lt;=0,"Paid",IF(AND($J22&lt;&gt;"",TODAY()&gt;$J22),"Overdue",IF(N($G22)&gt;0,"Partial","Upcoming"))))</f>
        <v/>
      </c>
      <c r="L22" s="27">
        <f>IF(OR($F22="",$I22&lt;=0,$J22=""),"",IF(TODAY()&gt;$J22,TODAY()-$J22,""))</f>
        <v/>
      </c>
      <c r="M22" s="22" t="n"/>
    </row>
    <row r="23">
      <c r="B23" s="22" t="n"/>
      <c r="C23" s="22" t="n"/>
      <c r="D23" s="22" t="n"/>
      <c r="E23" s="21" t="n"/>
      <c r="F23" s="23" t="n"/>
      <c r="G23" s="23" t="n"/>
      <c r="H23" s="21" t="n"/>
      <c r="I23" s="18">
        <f>IF($F23="","",$F23-N($G23))</f>
        <v/>
      </c>
      <c r="J23" s="21" t="n"/>
      <c r="K23">
        <f>IF($F23="","",IF($I23&lt;=0,"Paid",IF(AND($J23&lt;&gt;"",TODAY()&gt;$J23),"Overdue",IF(N($G23)&gt;0,"Partial","Upcoming"))))</f>
        <v/>
      </c>
      <c r="L23" s="27">
        <f>IF(OR($F23="",$I23&lt;=0,$J23=""),"",IF(TODAY()&gt;$J23,TODAY()-$J23,""))</f>
        <v/>
      </c>
      <c r="M23" s="22" t="n"/>
    </row>
    <row r="24">
      <c r="B24" s="22" t="n"/>
      <c r="C24" s="22" t="n"/>
      <c r="D24" s="22" t="n"/>
      <c r="E24" s="21" t="n"/>
      <c r="F24" s="23" t="n"/>
      <c r="G24" s="23" t="n"/>
      <c r="H24" s="21" t="n"/>
      <c r="I24" s="18">
        <f>IF($F24="","",$F24-N($G24))</f>
        <v/>
      </c>
      <c r="J24" s="21" t="n"/>
      <c r="K24">
        <f>IF($F24="","",IF($I24&lt;=0,"Paid",IF(AND($J24&lt;&gt;"",TODAY()&gt;$J24),"Overdue",IF(N($G24)&gt;0,"Partial","Upcoming"))))</f>
        <v/>
      </c>
      <c r="L24" s="27">
        <f>IF(OR($F24="",$I24&lt;=0,$J24=""),"",IF(TODAY()&gt;$J24,TODAY()-$J24,""))</f>
        <v/>
      </c>
      <c r="M24" s="22" t="n"/>
    </row>
    <row r="25">
      <c r="B25" s="22" t="n"/>
      <c r="C25" s="22" t="n"/>
      <c r="D25" s="22" t="n"/>
      <c r="E25" s="21" t="n"/>
      <c r="F25" s="23" t="n"/>
      <c r="G25" s="23" t="n"/>
      <c r="H25" s="21" t="n"/>
      <c r="I25" s="18">
        <f>IF($F25="","",$F25-N($G25))</f>
        <v/>
      </c>
      <c r="J25" s="21" t="n"/>
      <c r="K25">
        <f>IF($F25="","",IF($I25&lt;=0,"Paid",IF(AND($J25&lt;&gt;"",TODAY()&gt;$J25),"Overdue",IF(N($G25)&gt;0,"Partial","Upcoming"))))</f>
        <v/>
      </c>
      <c r="L25" s="27">
        <f>IF(OR($F25="",$I25&lt;=0,$J25=""),"",IF(TODAY()&gt;$J25,TODAY()-$J25,""))</f>
        <v/>
      </c>
      <c r="M25" s="22" t="n"/>
    </row>
    <row r="26">
      <c r="B26" s="22" t="n"/>
      <c r="C26" s="22" t="n"/>
      <c r="D26" s="22" t="n"/>
      <c r="E26" s="21" t="n"/>
      <c r="F26" s="23" t="n"/>
      <c r="G26" s="23" t="n"/>
      <c r="H26" s="21" t="n"/>
      <c r="I26" s="18">
        <f>IF($F26="","",$F26-N($G26))</f>
        <v/>
      </c>
      <c r="J26" s="21" t="n"/>
      <c r="K26">
        <f>IF($F26="","",IF($I26&lt;=0,"Paid",IF(AND($J26&lt;&gt;"",TODAY()&gt;$J26),"Overdue",IF(N($G26)&gt;0,"Partial","Upcoming"))))</f>
        <v/>
      </c>
      <c r="L26" s="27">
        <f>IF(OR($F26="",$I26&lt;=0,$J26=""),"",IF(TODAY()&gt;$J26,TODAY()-$J26,""))</f>
        <v/>
      </c>
      <c r="M26" s="22" t="n"/>
    </row>
    <row r="27">
      <c r="B27" s="22" t="n"/>
      <c r="C27" s="22" t="n"/>
      <c r="D27" s="22" t="n"/>
      <c r="E27" s="21" t="n"/>
      <c r="F27" s="23" t="n"/>
      <c r="G27" s="23" t="n"/>
      <c r="H27" s="21" t="n"/>
      <c r="I27" s="18">
        <f>IF($F27="","",$F27-N($G27))</f>
        <v/>
      </c>
      <c r="J27" s="21" t="n"/>
      <c r="K27">
        <f>IF($F27="","",IF($I27&lt;=0,"Paid",IF(AND($J27&lt;&gt;"",TODAY()&gt;$J27),"Overdue",IF(N($G27)&gt;0,"Partial","Upcoming"))))</f>
        <v/>
      </c>
      <c r="L27" s="27">
        <f>IF(OR($F27="",$I27&lt;=0,$J27=""),"",IF(TODAY()&gt;$J27,TODAY()-$J27,""))</f>
        <v/>
      </c>
      <c r="M27" s="22" t="n"/>
    </row>
    <row r="28">
      <c r="B28" s="22" t="n"/>
      <c r="C28" s="22" t="n"/>
      <c r="D28" s="22" t="n"/>
      <c r="E28" s="21" t="n"/>
      <c r="F28" s="23" t="n"/>
      <c r="G28" s="23" t="n"/>
      <c r="H28" s="21" t="n"/>
      <c r="I28" s="18">
        <f>IF($F28="","",$F28-N($G28))</f>
        <v/>
      </c>
      <c r="J28" s="21" t="n"/>
      <c r="K28">
        <f>IF($F28="","",IF($I28&lt;=0,"Paid",IF(AND($J28&lt;&gt;"",TODAY()&gt;$J28),"Overdue",IF(N($G28)&gt;0,"Partial","Upcoming"))))</f>
        <v/>
      </c>
      <c r="L28" s="27">
        <f>IF(OR($F28="",$I28&lt;=0,$J28=""),"",IF(TODAY()&gt;$J28,TODAY()-$J28,""))</f>
        <v/>
      </c>
      <c r="M28" s="22" t="n"/>
    </row>
    <row r="29">
      <c r="B29" s="22" t="n"/>
      <c r="C29" s="22" t="n"/>
      <c r="D29" s="22" t="n"/>
      <c r="E29" s="21" t="n"/>
      <c r="F29" s="23" t="n"/>
      <c r="G29" s="23" t="n"/>
      <c r="H29" s="21" t="n"/>
      <c r="I29" s="18">
        <f>IF($F29="","",$F29-N($G29))</f>
        <v/>
      </c>
      <c r="J29" s="21" t="n"/>
      <c r="K29">
        <f>IF($F29="","",IF($I29&lt;=0,"Paid",IF(AND($J29&lt;&gt;"",TODAY()&gt;$J29),"Overdue",IF(N($G29)&gt;0,"Partial","Upcoming"))))</f>
        <v/>
      </c>
      <c r="L29" s="27">
        <f>IF(OR($F29="",$I29&lt;=0,$J29=""),"",IF(TODAY()&gt;$J29,TODAY()-$J29,""))</f>
        <v/>
      </c>
      <c r="M29" s="22" t="n"/>
    </row>
    <row r="30">
      <c r="B30" s="22" t="n"/>
      <c r="C30" s="22" t="n"/>
      <c r="D30" s="22" t="n"/>
      <c r="E30" s="21" t="n"/>
      <c r="F30" s="23" t="n"/>
      <c r="G30" s="23" t="n"/>
      <c r="H30" s="21" t="n"/>
      <c r="I30" s="18">
        <f>IF($F30="","",$F30-N($G30))</f>
        <v/>
      </c>
      <c r="J30" s="21" t="n"/>
      <c r="K30">
        <f>IF($F30="","",IF($I30&lt;=0,"Paid",IF(AND($J30&lt;&gt;"",TODAY()&gt;$J30),"Overdue",IF(N($G30)&gt;0,"Partial","Upcoming"))))</f>
        <v/>
      </c>
      <c r="L30" s="27">
        <f>IF(OR($F30="",$I30&lt;=0,$J30=""),"",IF(TODAY()&gt;$J30,TODAY()-$J30,""))</f>
        <v/>
      </c>
      <c r="M30" s="22" t="n"/>
    </row>
    <row r="31">
      <c r="B31" s="22" t="n"/>
      <c r="C31" s="22" t="n"/>
      <c r="D31" s="22" t="n"/>
      <c r="E31" s="21" t="n"/>
      <c r="F31" s="23" t="n"/>
      <c r="G31" s="23" t="n"/>
      <c r="H31" s="21" t="n"/>
      <c r="I31" s="18">
        <f>IF($F31="","",$F31-N($G31))</f>
        <v/>
      </c>
      <c r="J31" s="21" t="n"/>
      <c r="K31">
        <f>IF($F31="","",IF($I31&lt;=0,"Paid",IF(AND($J31&lt;&gt;"",TODAY()&gt;$J31),"Overdue",IF(N($G31)&gt;0,"Partial","Upcoming"))))</f>
        <v/>
      </c>
      <c r="L31" s="27">
        <f>IF(OR($F31="",$I31&lt;=0,$J31=""),"",IF(TODAY()&gt;$J31,TODAY()-$J31,""))</f>
        <v/>
      </c>
      <c r="M31" s="22" t="n"/>
    </row>
    <row r="32">
      <c r="B32" s="22" t="n"/>
      <c r="C32" s="22" t="n"/>
      <c r="D32" s="22" t="n"/>
      <c r="E32" s="21" t="n"/>
      <c r="F32" s="23" t="n"/>
      <c r="G32" s="23" t="n"/>
      <c r="H32" s="21" t="n"/>
      <c r="I32" s="18">
        <f>IF($F32="","",$F32-N($G32))</f>
        <v/>
      </c>
      <c r="J32" s="21" t="n"/>
      <c r="K32">
        <f>IF($F32="","",IF($I32&lt;=0,"Paid",IF(AND($J32&lt;&gt;"",TODAY()&gt;$J32),"Overdue",IF(N($G32)&gt;0,"Partial","Upcoming"))))</f>
        <v/>
      </c>
      <c r="L32" s="27">
        <f>IF(OR($F32="",$I32&lt;=0,$J32=""),"",IF(TODAY()&gt;$J32,TODAY()-$J32,""))</f>
        <v/>
      </c>
      <c r="M32" s="22" t="n"/>
    </row>
    <row r="33">
      <c r="B33" s="22" t="n"/>
      <c r="C33" s="22" t="n"/>
      <c r="D33" s="22" t="n"/>
      <c r="E33" s="21" t="n"/>
      <c r="F33" s="23" t="n"/>
      <c r="G33" s="23" t="n"/>
      <c r="H33" s="21" t="n"/>
      <c r="I33" s="18">
        <f>IF($F33="","",$F33-N($G33))</f>
        <v/>
      </c>
      <c r="J33" s="21" t="n"/>
      <c r="K33">
        <f>IF($F33="","",IF($I33&lt;=0,"Paid",IF(AND($J33&lt;&gt;"",TODAY()&gt;$J33),"Overdue",IF(N($G33)&gt;0,"Partial","Upcoming"))))</f>
        <v/>
      </c>
      <c r="L33" s="27">
        <f>IF(OR($F33="",$I33&lt;=0,$J33=""),"",IF(TODAY()&gt;$J33,TODAY()-$J33,""))</f>
        <v/>
      </c>
      <c r="M33" s="22" t="n"/>
    </row>
    <row r="34">
      <c r="B34" s="22" t="n"/>
      <c r="C34" s="22" t="n"/>
      <c r="D34" s="22" t="n"/>
      <c r="E34" s="21" t="n"/>
      <c r="F34" s="23" t="n"/>
      <c r="G34" s="23" t="n"/>
      <c r="H34" s="21" t="n"/>
      <c r="I34" s="18">
        <f>IF($F34="","",$F34-N($G34))</f>
        <v/>
      </c>
      <c r="J34" s="21" t="n"/>
      <c r="K34">
        <f>IF($F34="","",IF($I34&lt;=0,"Paid",IF(AND($J34&lt;&gt;"",TODAY()&gt;$J34),"Overdue",IF(N($G34)&gt;0,"Partial","Upcoming"))))</f>
        <v/>
      </c>
      <c r="L34" s="27">
        <f>IF(OR($F34="",$I34&lt;=0,$J34=""),"",IF(TODAY()&gt;$J34,TODAY()-$J34,""))</f>
        <v/>
      </c>
      <c r="M34" s="22" t="n"/>
    </row>
    <row r="35">
      <c r="B35" s="22" t="n"/>
      <c r="C35" s="22" t="n"/>
      <c r="D35" s="22" t="n"/>
      <c r="E35" s="21" t="n"/>
      <c r="F35" s="23" t="n"/>
      <c r="G35" s="23" t="n"/>
      <c r="H35" s="21" t="n"/>
      <c r="I35" s="18">
        <f>IF($F35="","",$F35-N($G35))</f>
        <v/>
      </c>
      <c r="J35" s="21" t="n"/>
      <c r="K35">
        <f>IF($F35="","",IF($I35&lt;=0,"Paid",IF(AND($J35&lt;&gt;"",TODAY()&gt;$J35),"Overdue",IF(N($G35)&gt;0,"Partial","Upcoming"))))</f>
        <v/>
      </c>
      <c r="L35" s="27">
        <f>IF(OR($F35="",$I35&lt;=0,$J35=""),"",IF(TODAY()&gt;$J35,TODAY()-$J35,""))</f>
        <v/>
      </c>
      <c r="M35" s="22" t="n"/>
    </row>
    <row r="36">
      <c r="B36" s="22" t="n"/>
      <c r="C36" s="22" t="n"/>
      <c r="D36" s="22" t="n"/>
      <c r="E36" s="21" t="n"/>
      <c r="F36" s="23" t="n"/>
      <c r="G36" s="23" t="n"/>
      <c r="H36" s="21" t="n"/>
      <c r="I36" s="18">
        <f>IF($F36="","",$F36-N($G36))</f>
        <v/>
      </c>
      <c r="J36" s="21" t="n"/>
      <c r="K36">
        <f>IF($F36="","",IF($I36&lt;=0,"Paid",IF(AND($J36&lt;&gt;"",TODAY()&gt;$J36),"Overdue",IF(N($G36)&gt;0,"Partial","Upcoming"))))</f>
        <v/>
      </c>
      <c r="L36" s="27">
        <f>IF(OR($F36="",$I36&lt;=0,$J36=""),"",IF(TODAY()&gt;$J36,TODAY()-$J36,""))</f>
        <v/>
      </c>
      <c r="M36" s="22" t="n"/>
    </row>
    <row r="37">
      <c r="B37" s="22" t="n"/>
      <c r="C37" s="22" t="n"/>
      <c r="D37" s="22" t="n"/>
      <c r="E37" s="21" t="n"/>
      <c r="F37" s="23" t="n"/>
      <c r="G37" s="23" t="n"/>
      <c r="H37" s="21" t="n"/>
      <c r="I37" s="18">
        <f>IF($F37="","",$F37-N($G37))</f>
        <v/>
      </c>
      <c r="J37" s="21" t="n"/>
      <c r="K37">
        <f>IF($F37="","",IF($I37&lt;=0,"Paid",IF(AND($J37&lt;&gt;"",TODAY()&gt;$J37),"Overdue",IF(N($G37)&gt;0,"Partial","Upcoming"))))</f>
        <v/>
      </c>
      <c r="L37" s="27">
        <f>IF(OR($F37="",$I37&lt;=0,$J37=""),"",IF(TODAY()&gt;$J37,TODAY()-$J37,""))</f>
        <v/>
      </c>
      <c r="M37" s="22" t="n"/>
    </row>
    <row r="38">
      <c r="B38" s="22" t="n"/>
      <c r="C38" s="22" t="n"/>
      <c r="D38" s="22" t="n"/>
      <c r="E38" s="21" t="n"/>
      <c r="F38" s="23" t="n"/>
      <c r="G38" s="23" t="n"/>
      <c r="H38" s="21" t="n"/>
      <c r="I38" s="18">
        <f>IF($F38="","",$F38-N($G38))</f>
        <v/>
      </c>
      <c r="J38" s="21" t="n"/>
      <c r="K38">
        <f>IF($F38="","",IF($I38&lt;=0,"Paid",IF(AND($J38&lt;&gt;"",TODAY()&gt;$J38),"Overdue",IF(N($G38)&gt;0,"Partial","Upcoming"))))</f>
        <v/>
      </c>
      <c r="L38" s="27">
        <f>IF(OR($F38="",$I38&lt;=0,$J38=""),"",IF(TODAY()&gt;$J38,TODAY()-$J38,""))</f>
        <v/>
      </c>
      <c r="M38" s="22" t="n"/>
    </row>
    <row r="39">
      <c r="B39" s="22" t="n"/>
      <c r="C39" s="22" t="n"/>
      <c r="D39" s="22" t="n"/>
      <c r="E39" s="21" t="n"/>
      <c r="F39" s="23" t="n"/>
      <c r="G39" s="23" t="n"/>
      <c r="H39" s="21" t="n"/>
      <c r="I39" s="18">
        <f>IF($F39="","",$F39-N($G39))</f>
        <v/>
      </c>
      <c r="J39" s="21" t="n"/>
      <c r="K39">
        <f>IF($F39="","",IF($I39&lt;=0,"Paid",IF(AND($J39&lt;&gt;"",TODAY()&gt;$J39),"Overdue",IF(N($G39)&gt;0,"Partial","Upcoming"))))</f>
        <v/>
      </c>
      <c r="L39" s="27">
        <f>IF(OR($F39="",$I39&lt;=0,$J39=""),"",IF(TODAY()&gt;$J39,TODAY()-$J39,""))</f>
        <v/>
      </c>
      <c r="M39" s="22" t="n"/>
    </row>
    <row r="40">
      <c r="B40" s="22" t="n"/>
      <c r="C40" s="22" t="n"/>
      <c r="D40" s="22" t="n"/>
      <c r="E40" s="21" t="n"/>
      <c r="F40" s="23" t="n"/>
      <c r="G40" s="23" t="n"/>
      <c r="H40" s="21" t="n"/>
      <c r="I40" s="18">
        <f>IF($F40="","",$F40-N($G40))</f>
        <v/>
      </c>
      <c r="J40" s="21" t="n"/>
      <c r="K40">
        <f>IF($F40="","",IF($I40&lt;=0,"Paid",IF(AND($J40&lt;&gt;"",TODAY()&gt;$J40),"Overdue",IF(N($G40)&gt;0,"Partial","Upcoming"))))</f>
        <v/>
      </c>
      <c r="L40" s="27">
        <f>IF(OR($F40="",$I40&lt;=0,$J40=""),"",IF(TODAY()&gt;$J40,TODAY()-$J40,""))</f>
        <v/>
      </c>
      <c r="M40" s="22" t="n"/>
    </row>
    <row r="41">
      <c r="B41" s="22" t="n"/>
      <c r="C41" s="22" t="n"/>
      <c r="D41" s="22" t="n"/>
      <c r="E41" s="21" t="n"/>
      <c r="F41" s="23" t="n"/>
      <c r="G41" s="23" t="n"/>
      <c r="H41" s="21" t="n"/>
      <c r="I41" s="18">
        <f>IF($F41="","",$F41-N($G41))</f>
        <v/>
      </c>
      <c r="J41" s="21" t="n"/>
      <c r="K41">
        <f>IF($F41="","",IF($I41&lt;=0,"Paid",IF(AND($J41&lt;&gt;"",TODAY()&gt;$J41),"Overdue",IF(N($G41)&gt;0,"Partial","Upcoming"))))</f>
        <v/>
      </c>
      <c r="L41" s="27">
        <f>IF(OR($F41="",$I41&lt;=0,$J41=""),"",IF(TODAY()&gt;$J41,TODAY()-$J41,""))</f>
        <v/>
      </c>
      <c r="M41" s="22" t="n"/>
    </row>
    <row r="42">
      <c r="B42" s="22" t="n"/>
      <c r="C42" s="22" t="n"/>
      <c r="D42" s="22" t="n"/>
      <c r="E42" s="21" t="n"/>
      <c r="F42" s="23" t="n"/>
      <c r="G42" s="23" t="n"/>
      <c r="H42" s="21" t="n"/>
      <c r="I42" s="18">
        <f>IF($F42="","",$F42-N($G42))</f>
        <v/>
      </c>
      <c r="J42" s="21" t="n"/>
      <c r="K42">
        <f>IF($F42="","",IF($I42&lt;=0,"Paid",IF(AND($J42&lt;&gt;"",TODAY()&gt;$J42),"Overdue",IF(N($G42)&gt;0,"Partial","Upcoming"))))</f>
        <v/>
      </c>
      <c r="L42" s="27">
        <f>IF(OR($F42="",$I42&lt;=0,$J42=""),"",IF(TODAY()&gt;$J42,TODAY()-$J42,""))</f>
        <v/>
      </c>
      <c r="M42" s="22" t="n"/>
    </row>
    <row r="43">
      <c r="B43" s="22" t="n"/>
      <c r="C43" s="22" t="n"/>
      <c r="D43" s="22" t="n"/>
      <c r="E43" s="21" t="n"/>
      <c r="F43" s="23" t="n"/>
      <c r="G43" s="23" t="n"/>
      <c r="H43" s="21" t="n"/>
      <c r="I43" s="18">
        <f>IF($F43="","",$F43-N($G43))</f>
        <v/>
      </c>
      <c r="J43" s="21" t="n"/>
      <c r="K43">
        <f>IF($F43="","",IF($I43&lt;=0,"Paid",IF(AND($J43&lt;&gt;"",TODAY()&gt;$J43),"Overdue",IF(N($G43)&gt;0,"Partial","Upcoming"))))</f>
        <v/>
      </c>
      <c r="L43" s="27">
        <f>IF(OR($F43="",$I43&lt;=0,$J43=""),"",IF(TODAY()&gt;$J43,TODAY()-$J43,""))</f>
        <v/>
      </c>
      <c r="M43" s="22" t="n"/>
    </row>
    <row r="44">
      <c r="B44" s="22" t="n"/>
      <c r="C44" s="22" t="n"/>
      <c r="D44" s="22" t="n"/>
      <c r="E44" s="21" t="n"/>
      <c r="F44" s="23" t="n"/>
      <c r="G44" s="23" t="n"/>
      <c r="H44" s="21" t="n"/>
      <c r="I44" s="18">
        <f>IF($F44="","",$F44-N($G44))</f>
        <v/>
      </c>
      <c r="J44" s="21" t="n"/>
      <c r="K44">
        <f>IF($F44="","",IF($I44&lt;=0,"Paid",IF(AND($J44&lt;&gt;"",TODAY()&gt;$J44),"Overdue",IF(N($G44)&gt;0,"Partial","Upcoming"))))</f>
        <v/>
      </c>
      <c r="L44" s="27">
        <f>IF(OR($F44="",$I44&lt;=0,$J44=""),"",IF(TODAY()&gt;$J44,TODAY()-$J44,""))</f>
        <v/>
      </c>
      <c r="M44" s="22" t="n"/>
    </row>
    <row r="45">
      <c r="B45" s="22" t="n"/>
      <c r="C45" s="22" t="n"/>
      <c r="D45" s="22" t="n"/>
      <c r="E45" s="21" t="n"/>
      <c r="F45" s="23" t="n"/>
      <c r="G45" s="23" t="n"/>
      <c r="H45" s="21" t="n"/>
      <c r="I45" s="18">
        <f>IF($F45="","",$F45-N($G45))</f>
        <v/>
      </c>
      <c r="J45" s="21" t="n"/>
      <c r="K45">
        <f>IF($F45="","",IF($I45&lt;=0,"Paid",IF(AND($J45&lt;&gt;"",TODAY()&gt;$J45),"Overdue",IF(N($G45)&gt;0,"Partial","Upcoming"))))</f>
        <v/>
      </c>
      <c r="L45" s="27">
        <f>IF(OR($F45="",$I45&lt;=0,$J45=""),"",IF(TODAY()&gt;$J45,TODAY()-$J45,""))</f>
        <v/>
      </c>
      <c r="M45" s="22" t="n"/>
    </row>
    <row r="46">
      <c r="B46" s="22" t="n"/>
      <c r="C46" s="22" t="n"/>
      <c r="D46" s="22" t="n"/>
      <c r="E46" s="21" t="n"/>
      <c r="F46" s="23" t="n"/>
      <c r="G46" s="23" t="n"/>
      <c r="H46" s="21" t="n"/>
      <c r="I46" s="18">
        <f>IF($F46="","",$F46-N($G46))</f>
        <v/>
      </c>
      <c r="J46" s="21" t="n"/>
      <c r="K46">
        <f>IF($F46="","",IF($I46&lt;=0,"Paid",IF(AND($J46&lt;&gt;"",TODAY()&gt;$J46),"Overdue",IF(N($G46)&gt;0,"Partial","Upcoming"))))</f>
        <v/>
      </c>
      <c r="L46" s="27">
        <f>IF(OR($F46="",$I46&lt;=0,$J46=""),"",IF(TODAY()&gt;$J46,TODAY()-$J46,""))</f>
        <v/>
      </c>
      <c r="M46" s="22" t="n"/>
    </row>
    <row r="47">
      <c r="B47" s="22" t="n"/>
      <c r="C47" s="22" t="n"/>
      <c r="D47" s="22" t="n"/>
      <c r="E47" s="21" t="n"/>
      <c r="F47" s="23" t="n"/>
      <c r="G47" s="23" t="n"/>
      <c r="H47" s="21" t="n"/>
      <c r="I47" s="18">
        <f>IF($F47="","",$F47-N($G47))</f>
        <v/>
      </c>
      <c r="J47" s="21" t="n"/>
      <c r="K47">
        <f>IF($F47="","",IF($I47&lt;=0,"Paid",IF(AND($J47&lt;&gt;"",TODAY()&gt;$J47),"Overdue",IF(N($G47)&gt;0,"Partial","Upcoming"))))</f>
        <v/>
      </c>
      <c r="L47" s="27">
        <f>IF(OR($F47="",$I47&lt;=0,$J47=""),"",IF(TODAY()&gt;$J47,TODAY()-$J47,""))</f>
        <v/>
      </c>
      <c r="M47" s="22" t="n"/>
    </row>
    <row r="48">
      <c r="B48" s="22" t="n"/>
      <c r="C48" s="22" t="n"/>
      <c r="D48" s="22" t="n"/>
      <c r="E48" s="21" t="n"/>
      <c r="F48" s="23" t="n"/>
      <c r="G48" s="23" t="n"/>
      <c r="H48" s="21" t="n"/>
      <c r="I48" s="18">
        <f>IF($F48="","",$F48-N($G48))</f>
        <v/>
      </c>
      <c r="J48" s="21" t="n"/>
      <c r="K48">
        <f>IF($F48="","",IF($I48&lt;=0,"Paid",IF(AND($J48&lt;&gt;"",TODAY()&gt;$J48),"Overdue",IF(N($G48)&gt;0,"Partial","Upcoming"))))</f>
        <v/>
      </c>
      <c r="L48" s="27">
        <f>IF(OR($F48="",$I48&lt;=0,$J48=""),"",IF(TODAY()&gt;$J48,TODAY()-$J48,""))</f>
        <v/>
      </c>
      <c r="M48" s="22" t="n"/>
    </row>
    <row r="49">
      <c r="B49" s="22" t="n"/>
      <c r="C49" s="22" t="n"/>
      <c r="D49" s="22" t="n"/>
      <c r="E49" s="21" t="n"/>
      <c r="F49" s="23" t="n"/>
      <c r="G49" s="23" t="n"/>
      <c r="H49" s="21" t="n"/>
      <c r="I49" s="18">
        <f>IF($F49="","",$F49-N($G49))</f>
        <v/>
      </c>
      <c r="J49" s="21" t="n"/>
      <c r="K49">
        <f>IF($F49="","",IF($I49&lt;=0,"Paid",IF(AND($J49&lt;&gt;"",TODAY()&gt;$J49),"Overdue",IF(N($G49)&gt;0,"Partial","Upcoming"))))</f>
        <v/>
      </c>
      <c r="L49" s="27">
        <f>IF(OR($F49="",$I49&lt;=0,$J49=""),"",IF(TODAY()&gt;$J49,TODAY()-$J49,""))</f>
        <v/>
      </c>
      <c r="M49" s="22" t="n"/>
    </row>
    <row r="50">
      <c r="B50" s="22" t="n"/>
      <c r="C50" s="22" t="n"/>
      <c r="D50" s="22" t="n"/>
      <c r="E50" s="21" t="n"/>
      <c r="F50" s="23" t="n"/>
      <c r="G50" s="23" t="n"/>
      <c r="H50" s="21" t="n"/>
      <c r="I50" s="18">
        <f>IF($F50="","",$F50-N($G50))</f>
        <v/>
      </c>
      <c r="J50" s="21" t="n"/>
      <c r="K50">
        <f>IF($F50="","",IF($I50&lt;=0,"Paid",IF(AND($J50&lt;&gt;"",TODAY()&gt;$J50),"Overdue",IF(N($G50)&gt;0,"Partial","Upcoming"))))</f>
        <v/>
      </c>
      <c r="L50" s="27">
        <f>IF(OR($F50="",$I50&lt;=0,$J50=""),"",IF(TODAY()&gt;$J50,TODAY()-$J50,""))</f>
        <v/>
      </c>
      <c r="M50" s="22" t="n"/>
    </row>
    <row r="51">
      <c r="B51" s="22" t="n"/>
      <c r="C51" s="22" t="n"/>
      <c r="D51" s="22" t="n"/>
      <c r="E51" s="21" t="n"/>
      <c r="F51" s="23" t="n"/>
      <c r="G51" s="23" t="n"/>
      <c r="H51" s="21" t="n"/>
      <c r="I51" s="18">
        <f>IF($F51="","",$F51-N($G51))</f>
        <v/>
      </c>
      <c r="J51" s="21" t="n"/>
      <c r="K51">
        <f>IF($F51="","",IF($I51&lt;=0,"Paid",IF(AND($J51&lt;&gt;"",TODAY()&gt;$J51),"Overdue",IF(N($G51)&gt;0,"Partial","Upcoming"))))</f>
        <v/>
      </c>
      <c r="L51" s="27">
        <f>IF(OR($F51="",$I51&lt;=0,$J51=""),"",IF(TODAY()&gt;$J51,TODAY()-$J51,""))</f>
        <v/>
      </c>
      <c r="M51" s="22" t="n"/>
    </row>
    <row r="52">
      <c r="B52" s="22" t="n"/>
      <c r="C52" s="22" t="n"/>
      <c r="D52" s="22" t="n"/>
      <c r="E52" s="21" t="n"/>
      <c r="F52" s="23" t="n"/>
      <c r="G52" s="23" t="n"/>
      <c r="H52" s="21" t="n"/>
      <c r="I52" s="18">
        <f>IF($F52="","",$F52-N($G52))</f>
        <v/>
      </c>
      <c r="J52" s="21" t="n"/>
      <c r="K52">
        <f>IF($F52="","",IF($I52&lt;=0,"Paid",IF(AND($J52&lt;&gt;"",TODAY()&gt;$J52),"Overdue",IF(N($G52)&gt;0,"Partial","Upcoming"))))</f>
        <v/>
      </c>
      <c r="L52" s="27">
        <f>IF(OR($F52="",$I52&lt;=0,$J52=""),"",IF(TODAY()&gt;$J52,TODAY()-$J52,""))</f>
        <v/>
      </c>
      <c r="M52" s="22" t="n"/>
    </row>
    <row r="53">
      <c r="B53" s="22" t="n"/>
      <c r="C53" s="22" t="n"/>
      <c r="D53" s="22" t="n"/>
      <c r="E53" s="21" t="n"/>
      <c r="F53" s="23" t="n"/>
      <c r="G53" s="23" t="n"/>
      <c r="H53" s="21" t="n"/>
      <c r="I53" s="18">
        <f>IF($F53="","",$F53-N($G53))</f>
        <v/>
      </c>
      <c r="J53" s="21" t="n"/>
      <c r="K53">
        <f>IF($F53="","",IF($I53&lt;=0,"Paid",IF(AND($J53&lt;&gt;"",TODAY()&gt;$J53),"Overdue",IF(N($G53)&gt;0,"Partial","Upcoming"))))</f>
        <v/>
      </c>
      <c r="L53" s="27">
        <f>IF(OR($F53="",$I53&lt;=0,$J53=""),"",IF(TODAY()&gt;$J53,TODAY()-$J53,""))</f>
        <v/>
      </c>
      <c r="M53" s="22" t="n"/>
    </row>
    <row r="54">
      <c r="B54" s="22" t="n"/>
      <c r="C54" s="22" t="n"/>
      <c r="D54" s="22" t="n"/>
      <c r="E54" s="21" t="n"/>
      <c r="F54" s="23" t="n"/>
      <c r="G54" s="23" t="n"/>
      <c r="H54" s="21" t="n"/>
      <c r="I54" s="18">
        <f>IF($F54="","",$F54-N($G54))</f>
        <v/>
      </c>
      <c r="J54" s="21" t="n"/>
      <c r="K54">
        <f>IF($F54="","",IF($I54&lt;=0,"Paid",IF(AND($J54&lt;&gt;"",TODAY()&gt;$J54),"Overdue",IF(N($G54)&gt;0,"Partial","Upcoming"))))</f>
        <v/>
      </c>
      <c r="L54" s="27">
        <f>IF(OR($F54="",$I54&lt;=0,$J54=""),"",IF(TODAY()&gt;$J54,TODAY()-$J54,""))</f>
        <v/>
      </c>
      <c r="M54" s="22" t="n"/>
    </row>
    <row r="55">
      <c r="B55" s="22" t="n"/>
      <c r="C55" s="22" t="n"/>
      <c r="D55" s="22" t="n"/>
      <c r="E55" s="21" t="n"/>
      <c r="F55" s="23" t="n"/>
      <c r="G55" s="23" t="n"/>
      <c r="H55" s="21" t="n"/>
      <c r="I55" s="18">
        <f>IF($F55="","",$F55-N($G55))</f>
        <v/>
      </c>
      <c r="J55" s="21" t="n"/>
      <c r="K55">
        <f>IF($F55="","",IF($I55&lt;=0,"Paid",IF(AND($J55&lt;&gt;"",TODAY()&gt;$J55),"Overdue",IF(N($G55)&gt;0,"Partial","Upcoming"))))</f>
        <v/>
      </c>
      <c r="L55" s="27">
        <f>IF(OR($F55="",$I55&lt;=0,$J55=""),"",IF(TODAY()&gt;$J55,TODAY()-$J55,""))</f>
        <v/>
      </c>
      <c r="M55" s="22" t="n"/>
    </row>
    <row r="56">
      <c r="B56" s="22" t="n"/>
      <c r="C56" s="22" t="n"/>
      <c r="D56" s="22" t="n"/>
      <c r="E56" s="21" t="n"/>
      <c r="F56" s="23" t="n"/>
      <c r="G56" s="23" t="n"/>
      <c r="H56" s="21" t="n"/>
      <c r="I56" s="18">
        <f>IF($F56="","",$F56-N($G56))</f>
        <v/>
      </c>
      <c r="J56" s="21" t="n"/>
      <c r="K56">
        <f>IF($F56="","",IF($I56&lt;=0,"Paid",IF(AND($J56&lt;&gt;"",TODAY()&gt;$J56),"Overdue",IF(N($G56)&gt;0,"Partial","Upcoming"))))</f>
        <v/>
      </c>
      <c r="L56" s="27">
        <f>IF(OR($F56="",$I56&lt;=0,$J56=""),"",IF(TODAY()&gt;$J56,TODAY()-$J56,""))</f>
        <v/>
      </c>
      <c r="M56" s="22" t="n"/>
    </row>
    <row r="57">
      <c r="B57" s="22" t="n"/>
      <c r="C57" s="22" t="n"/>
      <c r="D57" s="22" t="n"/>
      <c r="E57" s="21" t="n"/>
      <c r="F57" s="23" t="n"/>
      <c r="G57" s="23" t="n"/>
      <c r="H57" s="21" t="n"/>
      <c r="I57" s="18">
        <f>IF($F57="","",$F57-N($G57))</f>
        <v/>
      </c>
      <c r="J57" s="21" t="n"/>
      <c r="K57">
        <f>IF($F57="","",IF($I57&lt;=0,"Paid",IF(AND($J57&lt;&gt;"",TODAY()&gt;$J57),"Overdue",IF(N($G57)&gt;0,"Partial","Upcoming"))))</f>
        <v/>
      </c>
      <c r="L57" s="27">
        <f>IF(OR($F57="",$I57&lt;=0,$J57=""),"",IF(TODAY()&gt;$J57,TODAY()-$J57,""))</f>
        <v/>
      </c>
      <c r="M57" s="22" t="n"/>
    </row>
    <row r="58">
      <c r="B58" s="22" t="n"/>
      <c r="C58" s="22" t="n"/>
      <c r="D58" s="22" t="n"/>
      <c r="E58" s="21" t="n"/>
      <c r="F58" s="23" t="n"/>
      <c r="G58" s="23" t="n"/>
      <c r="H58" s="21" t="n"/>
      <c r="I58" s="18">
        <f>IF($F58="","",$F58-N($G58))</f>
        <v/>
      </c>
      <c r="J58" s="21" t="n"/>
      <c r="K58">
        <f>IF($F58="","",IF($I58&lt;=0,"Paid",IF(AND($J58&lt;&gt;"",TODAY()&gt;$J58),"Overdue",IF(N($G58)&gt;0,"Partial","Upcoming"))))</f>
        <v/>
      </c>
      <c r="L58" s="27">
        <f>IF(OR($F58="",$I58&lt;=0,$J58=""),"",IF(TODAY()&gt;$J58,TODAY()-$J58,""))</f>
        <v/>
      </c>
      <c r="M58" s="22" t="n"/>
    </row>
    <row r="59">
      <c r="B59" s="22" t="n"/>
      <c r="C59" s="22" t="n"/>
      <c r="D59" s="22" t="n"/>
      <c r="E59" s="21" t="n"/>
      <c r="F59" s="23" t="n"/>
      <c r="G59" s="23" t="n"/>
      <c r="H59" s="21" t="n"/>
      <c r="I59" s="18">
        <f>IF($F59="","",$F59-N($G59))</f>
        <v/>
      </c>
      <c r="J59" s="21" t="n"/>
      <c r="K59">
        <f>IF($F59="","",IF($I59&lt;=0,"Paid",IF(AND($J59&lt;&gt;"",TODAY()&gt;$J59),"Overdue",IF(N($G59)&gt;0,"Partial","Upcoming"))))</f>
        <v/>
      </c>
      <c r="L59" s="27">
        <f>IF(OR($F59="",$I59&lt;=0,$J59=""),"",IF(TODAY()&gt;$J59,TODAY()-$J59,""))</f>
        <v/>
      </c>
      <c r="M59" s="22" t="n"/>
    </row>
    <row r="60">
      <c r="B60" s="22" t="n"/>
      <c r="C60" s="22" t="n"/>
      <c r="D60" s="22" t="n"/>
      <c r="E60" s="21" t="n"/>
      <c r="F60" s="23" t="n"/>
      <c r="G60" s="23" t="n"/>
      <c r="H60" s="21" t="n"/>
      <c r="I60" s="18">
        <f>IF($F60="","",$F60-N($G60))</f>
        <v/>
      </c>
      <c r="J60" s="21" t="n"/>
      <c r="K60">
        <f>IF($F60="","",IF($I60&lt;=0,"Paid",IF(AND($J60&lt;&gt;"",TODAY()&gt;$J60),"Overdue",IF(N($G60)&gt;0,"Partial","Upcoming"))))</f>
        <v/>
      </c>
      <c r="L60" s="27">
        <f>IF(OR($F60="",$I60&lt;=0,$J60=""),"",IF(TODAY()&gt;$J60,TODAY()-$J60,""))</f>
        <v/>
      </c>
      <c r="M60" s="22" t="n"/>
    </row>
    <row r="61">
      <c r="B61" s="22" t="n"/>
      <c r="C61" s="22" t="n"/>
      <c r="D61" s="22" t="n"/>
      <c r="E61" s="21" t="n"/>
      <c r="F61" s="23" t="n"/>
      <c r="G61" s="23" t="n"/>
      <c r="H61" s="21" t="n"/>
      <c r="I61" s="18">
        <f>IF($F61="","",$F61-N($G61))</f>
        <v/>
      </c>
      <c r="J61" s="21" t="n"/>
      <c r="K61">
        <f>IF($F61="","",IF($I61&lt;=0,"Paid",IF(AND($J61&lt;&gt;"",TODAY()&gt;$J61),"Overdue",IF(N($G61)&gt;0,"Partial","Upcoming"))))</f>
        <v/>
      </c>
      <c r="L61" s="27">
        <f>IF(OR($F61="",$I61&lt;=0,$J61=""),"",IF(TODAY()&gt;$J61,TODAY()-$J61,""))</f>
        <v/>
      </c>
      <c r="M61" s="22" t="n"/>
    </row>
    <row r="62">
      <c r="B62" s="22" t="n"/>
      <c r="C62" s="22" t="n"/>
      <c r="D62" s="22" t="n"/>
      <c r="E62" s="21" t="n"/>
      <c r="F62" s="23" t="n"/>
      <c r="G62" s="23" t="n"/>
      <c r="H62" s="21" t="n"/>
      <c r="I62" s="18">
        <f>IF($F62="","",$F62-N($G62))</f>
        <v/>
      </c>
      <c r="J62" s="21" t="n"/>
      <c r="K62">
        <f>IF($F62="","",IF($I62&lt;=0,"Paid",IF(AND($J62&lt;&gt;"",TODAY()&gt;$J62),"Overdue",IF(N($G62)&gt;0,"Partial","Upcoming"))))</f>
        <v/>
      </c>
      <c r="L62" s="27">
        <f>IF(OR($F62="",$I62&lt;=0,$J62=""),"",IF(TODAY()&gt;$J62,TODAY()-$J62,""))</f>
        <v/>
      </c>
      <c r="M62" s="22" t="n"/>
    </row>
    <row r="63">
      <c r="B63" s="22" t="n"/>
      <c r="C63" s="22" t="n"/>
      <c r="D63" s="22" t="n"/>
      <c r="E63" s="21" t="n"/>
      <c r="F63" s="23" t="n"/>
      <c r="G63" s="23" t="n"/>
      <c r="H63" s="21" t="n"/>
      <c r="I63" s="18">
        <f>IF($F63="","",$F63-N($G63))</f>
        <v/>
      </c>
      <c r="J63" s="21" t="n"/>
      <c r="K63">
        <f>IF($F63="","",IF($I63&lt;=0,"Paid",IF(AND($J63&lt;&gt;"",TODAY()&gt;$J63),"Overdue",IF(N($G63)&gt;0,"Partial","Upcoming"))))</f>
        <v/>
      </c>
      <c r="L63" s="27">
        <f>IF(OR($F63="",$I63&lt;=0,$J63=""),"",IF(TODAY()&gt;$J63,TODAY()-$J63,""))</f>
        <v/>
      </c>
      <c r="M63" s="22" t="n"/>
    </row>
    <row r="64">
      <c r="B64" s="22" t="n"/>
      <c r="C64" s="22" t="n"/>
      <c r="D64" s="22" t="n"/>
      <c r="E64" s="21" t="n"/>
      <c r="F64" s="23" t="n"/>
      <c r="G64" s="23" t="n"/>
      <c r="H64" s="21" t="n"/>
      <c r="I64" s="18">
        <f>IF($F64="","",$F64-N($G64))</f>
        <v/>
      </c>
      <c r="J64" s="21" t="n"/>
      <c r="K64">
        <f>IF($F64="","",IF($I64&lt;=0,"Paid",IF(AND($J64&lt;&gt;"",TODAY()&gt;$J64),"Overdue",IF(N($G64)&gt;0,"Partial","Upcoming"))))</f>
        <v/>
      </c>
      <c r="L64" s="27">
        <f>IF(OR($F64="",$I64&lt;=0,$J64=""),"",IF(TODAY()&gt;$J64,TODAY()-$J64,""))</f>
        <v/>
      </c>
      <c r="M64" s="22" t="n"/>
    </row>
    <row r="65">
      <c r="B65" s="22" t="n"/>
      <c r="C65" s="22" t="n"/>
      <c r="D65" s="22" t="n"/>
      <c r="E65" s="21" t="n"/>
      <c r="F65" s="23" t="n"/>
      <c r="G65" s="23" t="n"/>
      <c r="H65" s="21" t="n"/>
      <c r="I65" s="18">
        <f>IF($F65="","",$F65-N($G65))</f>
        <v/>
      </c>
      <c r="J65" s="21" t="n"/>
      <c r="K65">
        <f>IF($F65="","",IF($I65&lt;=0,"Paid",IF(AND($J65&lt;&gt;"",TODAY()&gt;$J65),"Overdue",IF(N($G65)&gt;0,"Partial","Upcoming"))))</f>
        <v/>
      </c>
      <c r="L65" s="27">
        <f>IF(OR($F65="",$I65&lt;=0,$J65=""),"",IF(TODAY()&gt;$J65,TODAY()-$J65,""))</f>
        <v/>
      </c>
      <c r="M65" s="22" t="n"/>
    </row>
    <row r="66">
      <c r="B66" s="22" t="n"/>
      <c r="C66" s="22" t="n"/>
      <c r="D66" s="22" t="n"/>
      <c r="E66" s="21" t="n"/>
      <c r="F66" s="23" t="n"/>
      <c r="G66" s="23" t="n"/>
      <c r="H66" s="21" t="n"/>
      <c r="I66" s="18">
        <f>IF($F66="","",$F66-N($G66))</f>
        <v/>
      </c>
      <c r="J66" s="21" t="n"/>
      <c r="K66">
        <f>IF($F66="","",IF($I66&lt;=0,"Paid",IF(AND($J66&lt;&gt;"",TODAY()&gt;$J66),"Overdue",IF(N($G66)&gt;0,"Partial","Upcoming"))))</f>
        <v/>
      </c>
      <c r="L66" s="27">
        <f>IF(OR($F66="",$I66&lt;=0,$J66=""),"",IF(TODAY()&gt;$J66,TODAY()-$J66,""))</f>
        <v/>
      </c>
      <c r="M66" s="22" t="n"/>
    </row>
    <row r="67">
      <c r="B67" s="22" t="n"/>
      <c r="C67" s="22" t="n"/>
      <c r="D67" s="22" t="n"/>
      <c r="E67" s="21" t="n"/>
      <c r="F67" s="23" t="n"/>
      <c r="G67" s="23" t="n"/>
      <c r="H67" s="21" t="n"/>
      <c r="I67" s="18">
        <f>IF($F67="","",$F67-N($G67))</f>
        <v/>
      </c>
      <c r="J67" s="21" t="n"/>
      <c r="K67">
        <f>IF($F67="","",IF($I67&lt;=0,"Paid",IF(AND($J67&lt;&gt;"",TODAY()&gt;$J67),"Overdue",IF(N($G67)&gt;0,"Partial","Upcoming"))))</f>
        <v/>
      </c>
      <c r="L67" s="27">
        <f>IF(OR($F67="",$I67&lt;=0,$J67=""),"",IF(TODAY()&gt;$J67,TODAY()-$J67,""))</f>
        <v/>
      </c>
      <c r="M67" s="22" t="n"/>
    </row>
    <row r="68">
      <c r="B68" s="22" t="n"/>
      <c r="C68" s="22" t="n"/>
      <c r="D68" s="22" t="n"/>
      <c r="E68" s="21" t="n"/>
      <c r="F68" s="23" t="n"/>
      <c r="G68" s="23" t="n"/>
      <c r="H68" s="21" t="n"/>
      <c r="I68" s="18">
        <f>IF($F68="","",$F68-N($G68))</f>
        <v/>
      </c>
      <c r="J68" s="21" t="n"/>
      <c r="K68">
        <f>IF($F68="","",IF($I68&lt;=0,"Paid",IF(AND($J68&lt;&gt;"",TODAY()&gt;$J68),"Overdue",IF(N($G68)&gt;0,"Partial","Upcoming"))))</f>
        <v/>
      </c>
      <c r="L68" s="27">
        <f>IF(OR($F68="",$I68&lt;=0,$J68=""),"",IF(TODAY()&gt;$J68,TODAY()-$J68,""))</f>
        <v/>
      </c>
      <c r="M68" s="22" t="n"/>
    </row>
    <row r="69">
      <c r="B69" s="22" t="n"/>
      <c r="C69" s="22" t="n"/>
      <c r="D69" s="22" t="n"/>
      <c r="E69" s="21" t="n"/>
      <c r="F69" s="23" t="n"/>
      <c r="G69" s="23" t="n"/>
      <c r="H69" s="21" t="n"/>
      <c r="I69" s="18">
        <f>IF($F69="","",$F69-N($G69))</f>
        <v/>
      </c>
      <c r="J69" s="21" t="n"/>
      <c r="K69">
        <f>IF($F69="","",IF($I69&lt;=0,"Paid",IF(AND($J69&lt;&gt;"",TODAY()&gt;$J69),"Overdue",IF(N($G69)&gt;0,"Partial","Upcoming"))))</f>
        <v/>
      </c>
      <c r="L69" s="27">
        <f>IF(OR($F69="",$I69&lt;=0,$J69=""),"",IF(TODAY()&gt;$J69,TODAY()-$J69,""))</f>
        <v/>
      </c>
      <c r="M69" s="22" t="n"/>
    </row>
    <row r="70">
      <c r="B70" s="22" t="n"/>
      <c r="C70" s="22" t="n"/>
      <c r="D70" s="22" t="n"/>
      <c r="E70" s="21" t="n"/>
      <c r="F70" s="23" t="n"/>
      <c r="G70" s="23" t="n"/>
      <c r="H70" s="21" t="n"/>
      <c r="I70" s="18">
        <f>IF($F70="","",$F70-N($G70))</f>
        <v/>
      </c>
      <c r="J70" s="21" t="n"/>
      <c r="K70">
        <f>IF($F70="","",IF($I70&lt;=0,"Paid",IF(AND($J70&lt;&gt;"",TODAY()&gt;$J70),"Overdue",IF(N($G70)&gt;0,"Partial","Upcoming"))))</f>
        <v/>
      </c>
      <c r="L70" s="27">
        <f>IF(OR($F70="",$I70&lt;=0,$J70=""),"",IF(TODAY()&gt;$J70,TODAY()-$J70,""))</f>
        <v/>
      </c>
      <c r="M70" s="22" t="n"/>
    </row>
    <row r="71">
      <c r="B71" s="22" t="n"/>
      <c r="C71" s="22" t="n"/>
      <c r="D71" s="22" t="n"/>
      <c r="E71" s="21" t="n"/>
      <c r="F71" s="23" t="n"/>
      <c r="G71" s="23" t="n"/>
      <c r="H71" s="21" t="n"/>
      <c r="I71" s="18">
        <f>IF($F71="","",$F71-N($G71))</f>
        <v/>
      </c>
      <c r="J71" s="21" t="n"/>
      <c r="K71">
        <f>IF($F71="","",IF($I71&lt;=0,"Paid",IF(AND($J71&lt;&gt;"",TODAY()&gt;$J71),"Overdue",IF(N($G71)&gt;0,"Partial","Upcoming"))))</f>
        <v/>
      </c>
      <c r="L71" s="27">
        <f>IF(OR($F71="",$I71&lt;=0,$J71=""),"",IF(TODAY()&gt;$J71,TODAY()-$J71,""))</f>
        <v/>
      </c>
      <c r="M71" s="22" t="n"/>
    </row>
    <row r="72">
      <c r="B72" s="22" t="n"/>
      <c r="C72" s="22" t="n"/>
      <c r="D72" s="22" t="n"/>
      <c r="E72" s="21" t="n"/>
      <c r="F72" s="23" t="n"/>
      <c r="G72" s="23" t="n"/>
      <c r="H72" s="21" t="n"/>
      <c r="I72" s="18">
        <f>IF($F72="","",$F72-N($G72))</f>
        <v/>
      </c>
      <c r="J72" s="21" t="n"/>
      <c r="K72">
        <f>IF($F72="","",IF($I72&lt;=0,"Paid",IF(AND($J72&lt;&gt;"",TODAY()&gt;$J72),"Overdue",IF(N($G72)&gt;0,"Partial","Upcoming"))))</f>
        <v/>
      </c>
      <c r="L72" s="27">
        <f>IF(OR($F72="",$I72&lt;=0,$J72=""),"",IF(TODAY()&gt;$J72,TODAY()-$J72,""))</f>
        <v/>
      </c>
      <c r="M72" s="22" t="n"/>
    </row>
    <row r="73">
      <c r="B73" s="22" t="n"/>
      <c r="C73" s="22" t="n"/>
      <c r="D73" s="22" t="n"/>
      <c r="E73" s="21" t="n"/>
      <c r="F73" s="23" t="n"/>
      <c r="G73" s="23" t="n"/>
      <c r="H73" s="21" t="n"/>
      <c r="I73" s="18">
        <f>IF($F73="","",$F73-N($G73))</f>
        <v/>
      </c>
      <c r="J73" s="21" t="n"/>
      <c r="K73">
        <f>IF($F73="","",IF($I73&lt;=0,"Paid",IF(AND($J73&lt;&gt;"",TODAY()&gt;$J73),"Overdue",IF(N($G73)&gt;0,"Partial","Upcoming"))))</f>
        <v/>
      </c>
      <c r="L73" s="27">
        <f>IF(OR($F73="",$I73&lt;=0,$J73=""),"",IF(TODAY()&gt;$J73,TODAY()-$J73,""))</f>
        <v/>
      </c>
      <c r="M73" s="22" t="n"/>
    </row>
    <row r="74">
      <c r="B74" s="22" t="n"/>
      <c r="C74" s="22" t="n"/>
      <c r="D74" s="22" t="n"/>
      <c r="E74" s="21" t="n"/>
      <c r="F74" s="23" t="n"/>
      <c r="G74" s="23" t="n"/>
      <c r="H74" s="21" t="n"/>
      <c r="I74" s="18">
        <f>IF($F74="","",$F74-N($G74))</f>
        <v/>
      </c>
      <c r="J74" s="21" t="n"/>
      <c r="K74">
        <f>IF($F74="","",IF($I74&lt;=0,"Paid",IF(AND($J74&lt;&gt;"",TODAY()&gt;$J74),"Overdue",IF(N($G74)&gt;0,"Partial","Upcoming"))))</f>
        <v/>
      </c>
      <c r="L74" s="27">
        <f>IF(OR($F74="",$I74&lt;=0,$J74=""),"",IF(TODAY()&gt;$J74,TODAY()-$J74,""))</f>
        <v/>
      </c>
      <c r="M74" s="22" t="n"/>
    </row>
    <row r="75">
      <c r="B75" s="22" t="n"/>
      <c r="C75" s="22" t="n"/>
      <c r="D75" s="22" t="n"/>
      <c r="E75" s="21" t="n"/>
      <c r="F75" s="23" t="n"/>
      <c r="G75" s="23" t="n"/>
      <c r="H75" s="21" t="n"/>
      <c r="I75" s="18">
        <f>IF($F75="","",$F75-N($G75))</f>
        <v/>
      </c>
      <c r="J75" s="21" t="n"/>
      <c r="K75">
        <f>IF($F75="","",IF($I75&lt;=0,"Paid",IF(AND($J75&lt;&gt;"",TODAY()&gt;$J75),"Overdue",IF(N($G75)&gt;0,"Partial","Upcoming"))))</f>
        <v/>
      </c>
      <c r="L75" s="27">
        <f>IF(OR($F75="",$I75&lt;=0,$J75=""),"",IF(TODAY()&gt;$J75,TODAY()-$J75,""))</f>
        <v/>
      </c>
      <c r="M75" s="22" t="n"/>
    </row>
    <row r="76">
      <c r="B76" s="22" t="n"/>
      <c r="C76" s="22" t="n"/>
      <c r="D76" s="22" t="n"/>
      <c r="E76" s="21" t="n"/>
      <c r="F76" s="23" t="n"/>
      <c r="G76" s="23" t="n"/>
      <c r="H76" s="21" t="n"/>
      <c r="I76" s="18">
        <f>IF($F76="","",$F76-N($G76))</f>
        <v/>
      </c>
      <c r="J76" s="21" t="n"/>
      <c r="K76">
        <f>IF($F76="","",IF($I76&lt;=0,"Paid",IF(AND($J76&lt;&gt;"",TODAY()&gt;$J76),"Overdue",IF(N($G76)&gt;0,"Partial","Upcoming"))))</f>
        <v/>
      </c>
      <c r="L76" s="27">
        <f>IF(OR($F76="",$I76&lt;=0,$J76=""),"",IF(TODAY()&gt;$J76,TODAY()-$J76,""))</f>
        <v/>
      </c>
      <c r="M76" s="22" t="n"/>
    </row>
    <row r="77">
      <c r="B77" s="22" t="n"/>
      <c r="C77" s="22" t="n"/>
      <c r="D77" s="22" t="n"/>
      <c r="E77" s="21" t="n"/>
      <c r="F77" s="23" t="n"/>
      <c r="G77" s="23" t="n"/>
      <c r="H77" s="21" t="n"/>
      <c r="I77" s="18">
        <f>IF($F77="","",$F77-N($G77))</f>
        <v/>
      </c>
      <c r="J77" s="21" t="n"/>
      <c r="K77">
        <f>IF($F77="","",IF($I77&lt;=0,"Paid",IF(AND($J77&lt;&gt;"",TODAY()&gt;$J77),"Overdue",IF(N($G77)&gt;0,"Partial","Upcoming"))))</f>
        <v/>
      </c>
      <c r="L77" s="27">
        <f>IF(OR($F77="",$I77&lt;=0,$J77=""),"",IF(TODAY()&gt;$J77,TODAY()-$J77,""))</f>
        <v/>
      </c>
      <c r="M77" s="22" t="n"/>
    </row>
    <row r="78">
      <c r="B78" s="22" t="n"/>
      <c r="C78" s="22" t="n"/>
      <c r="D78" s="22" t="n"/>
      <c r="E78" s="21" t="n"/>
      <c r="F78" s="23" t="n"/>
      <c r="G78" s="23" t="n"/>
      <c r="H78" s="21" t="n"/>
      <c r="I78" s="18">
        <f>IF($F78="","",$F78-N($G78))</f>
        <v/>
      </c>
      <c r="J78" s="21" t="n"/>
      <c r="K78">
        <f>IF($F78="","",IF($I78&lt;=0,"Paid",IF(AND($J78&lt;&gt;"",TODAY()&gt;$J78),"Overdue",IF(N($G78)&gt;0,"Partial","Upcoming"))))</f>
        <v/>
      </c>
      <c r="L78" s="27">
        <f>IF(OR($F78="",$I78&lt;=0,$J78=""),"",IF(TODAY()&gt;$J78,TODAY()-$J78,""))</f>
        <v/>
      </c>
      <c r="M78" s="22" t="n"/>
    </row>
    <row r="79">
      <c r="B79" s="22" t="n"/>
      <c r="C79" s="22" t="n"/>
      <c r="D79" s="22" t="n"/>
      <c r="E79" s="21" t="n"/>
      <c r="F79" s="23" t="n"/>
      <c r="G79" s="23" t="n"/>
      <c r="H79" s="21" t="n"/>
      <c r="I79" s="18">
        <f>IF($F79="","",$F79-N($G79))</f>
        <v/>
      </c>
      <c r="J79" s="21" t="n"/>
      <c r="K79">
        <f>IF($F79="","",IF($I79&lt;=0,"Paid",IF(AND($J79&lt;&gt;"",TODAY()&gt;$J79),"Overdue",IF(N($G79)&gt;0,"Partial","Upcoming"))))</f>
        <v/>
      </c>
      <c r="L79" s="27">
        <f>IF(OR($F79="",$I79&lt;=0,$J79=""),"",IF(TODAY()&gt;$J79,TODAY()-$J79,""))</f>
        <v/>
      </c>
      <c r="M79" s="22" t="n"/>
    </row>
    <row r="80">
      <c r="B80" s="22" t="n"/>
      <c r="C80" s="22" t="n"/>
      <c r="D80" s="22" t="n"/>
      <c r="E80" s="21" t="n"/>
      <c r="F80" s="23" t="n"/>
      <c r="G80" s="23" t="n"/>
      <c r="H80" s="21" t="n"/>
      <c r="I80" s="18">
        <f>IF($F80="","",$F80-N($G80))</f>
        <v/>
      </c>
      <c r="J80" s="21" t="n"/>
      <c r="K80">
        <f>IF($F80="","",IF($I80&lt;=0,"Paid",IF(AND($J80&lt;&gt;"",TODAY()&gt;$J80),"Overdue",IF(N($G80)&gt;0,"Partial","Upcoming"))))</f>
        <v/>
      </c>
      <c r="L80" s="27">
        <f>IF(OR($F80="",$I80&lt;=0,$J80=""),"",IF(TODAY()&gt;$J80,TODAY()-$J80,""))</f>
        <v/>
      </c>
      <c r="M80" s="22" t="n"/>
    </row>
    <row r="81">
      <c r="B81" s="22" t="n"/>
      <c r="C81" s="22" t="n"/>
      <c r="D81" s="22" t="n"/>
      <c r="E81" s="21" t="n"/>
      <c r="F81" s="23" t="n"/>
      <c r="G81" s="23" t="n"/>
      <c r="H81" s="21" t="n"/>
      <c r="I81" s="18">
        <f>IF($F81="","",$F81-N($G81))</f>
        <v/>
      </c>
      <c r="J81" s="21" t="n"/>
      <c r="K81">
        <f>IF($F81="","",IF($I81&lt;=0,"Paid",IF(AND($J81&lt;&gt;"",TODAY()&gt;$J81),"Overdue",IF(N($G81)&gt;0,"Partial","Upcoming"))))</f>
        <v/>
      </c>
      <c r="L81" s="27">
        <f>IF(OR($F81="",$I81&lt;=0,$J81=""),"",IF(TODAY()&gt;$J81,TODAY()-$J81,""))</f>
        <v/>
      </c>
      <c r="M81" s="22" t="n"/>
    </row>
    <row r="82">
      <c r="B82" s="22" t="n"/>
      <c r="C82" s="22" t="n"/>
      <c r="D82" s="22" t="n"/>
      <c r="E82" s="21" t="n"/>
      <c r="F82" s="23" t="n"/>
      <c r="G82" s="23" t="n"/>
      <c r="H82" s="21" t="n"/>
      <c r="I82" s="18">
        <f>IF($F82="","",$F82-N($G82))</f>
        <v/>
      </c>
      <c r="J82" s="21" t="n"/>
      <c r="K82">
        <f>IF($F82="","",IF($I82&lt;=0,"Paid",IF(AND($J82&lt;&gt;"",TODAY()&gt;$J82),"Overdue",IF(N($G82)&gt;0,"Partial","Upcoming"))))</f>
        <v/>
      </c>
      <c r="L82" s="27">
        <f>IF(OR($F82="",$I82&lt;=0,$J82=""),"",IF(TODAY()&gt;$J82,TODAY()-$J82,""))</f>
        <v/>
      </c>
      <c r="M82" s="22" t="n"/>
    </row>
    <row r="83">
      <c r="B83" s="22" t="n"/>
      <c r="C83" s="22" t="n"/>
      <c r="D83" s="22" t="n"/>
      <c r="E83" s="21" t="n"/>
      <c r="F83" s="23" t="n"/>
      <c r="G83" s="23" t="n"/>
      <c r="H83" s="21" t="n"/>
      <c r="I83" s="18">
        <f>IF($F83="","",$F83-N($G83))</f>
        <v/>
      </c>
      <c r="J83" s="21" t="n"/>
      <c r="K83">
        <f>IF($F83="","",IF($I83&lt;=0,"Paid",IF(AND($J83&lt;&gt;"",TODAY()&gt;$J83),"Overdue",IF(N($G83)&gt;0,"Partial","Upcoming"))))</f>
        <v/>
      </c>
      <c r="L83" s="27">
        <f>IF(OR($F83="",$I83&lt;=0,$J83=""),"",IF(TODAY()&gt;$J83,TODAY()-$J83,""))</f>
        <v/>
      </c>
      <c r="M83" s="22" t="n"/>
    </row>
    <row r="84">
      <c r="B84" s="22" t="n"/>
      <c r="C84" s="22" t="n"/>
      <c r="D84" s="22" t="n"/>
      <c r="E84" s="21" t="n"/>
      <c r="F84" s="23" t="n"/>
      <c r="G84" s="23" t="n"/>
      <c r="H84" s="21" t="n"/>
      <c r="I84" s="18">
        <f>IF($F84="","",$F84-N($G84))</f>
        <v/>
      </c>
      <c r="J84" s="21" t="n"/>
      <c r="K84">
        <f>IF($F84="","",IF($I84&lt;=0,"Paid",IF(AND($J84&lt;&gt;"",TODAY()&gt;$J84),"Overdue",IF(N($G84)&gt;0,"Partial","Upcoming"))))</f>
        <v/>
      </c>
      <c r="L84" s="27">
        <f>IF(OR($F84="",$I84&lt;=0,$J84=""),"",IF(TODAY()&gt;$J84,TODAY()-$J84,""))</f>
        <v/>
      </c>
      <c r="M84" s="22" t="n"/>
    </row>
    <row r="85">
      <c r="B85" s="22" t="n"/>
      <c r="C85" s="22" t="n"/>
      <c r="D85" s="22" t="n"/>
      <c r="E85" s="21" t="n"/>
      <c r="F85" s="23" t="n"/>
      <c r="G85" s="23" t="n"/>
      <c r="H85" s="21" t="n"/>
      <c r="I85" s="18">
        <f>IF($F85="","",$F85-N($G85))</f>
        <v/>
      </c>
      <c r="J85" s="21" t="n"/>
      <c r="K85">
        <f>IF($F85="","",IF($I85&lt;=0,"Paid",IF(AND($J85&lt;&gt;"",TODAY()&gt;$J85),"Overdue",IF(N($G85)&gt;0,"Partial","Upcoming"))))</f>
        <v/>
      </c>
      <c r="L85" s="27">
        <f>IF(OR($F85="",$I85&lt;=0,$J85=""),"",IF(TODAY()&gt;$J85,TODAY()-$J85,""))</f>
        <v/>
      </c>
      <c r="M85" s="22" t="n"/>
    </row>
    <row r="86">
      <c r="B86" s="22" t="n"/>
      <c r="C86" s="22" t="n"/>
      <c r="D86" s="22" t="n"/>
      <c r="E86" s="21" t="n"/>
      <c r="F86" s="23" t="n"/>
      <c r="G86" s="23" t="n"/>
      <c r="H86" s="21" t="n"/>
      <c r="I86" s="18">
        <f>IF($F86="","",$F86-N($G86))</f>
        <v/>
      </c>
      <c r="J86" s="21" t="n"/>
      <c r="K86">
        <f>IF($F86="","",IF($I86&lt;=0,"Paid",IF(AND($J86&lt;&gt;"",TODAY()&gt;$J86),"Overdue",IF(N($G86)&gt;0,"Partial","Upcoming"))))</f>
        <v/>
      </c>
      <c r="L86" s="27">
        <f>IF(OR($F86="",$I86&lt;=0,$J86=""),"",IF(TODAY()&gt;$J86,TODAY()-$J86,""))</f>
        <v/>
      </c>
      <c r="M86" s="22" t="n"/>
    </row>
    <row r="87">
      <c r="B87" s="22" t="n"/>
      <c r="C87" s="22" t="n"/>
      <c r="D87" s="22" t="n"/>
      <c r="E87" s="21" t="n"/>
      <c r="F87" s="23" t="n"/>
      <c r="G87" s="23" t="n"/>
      <c r="H87" s="21" t="n"/>
      <c r="I87" s="18">
        <f>IF($F87="","",$F87-N($G87))</f>
        <v/>
      </c>
      <c r="J87" s="21" t="n"/>
      <c r="K87">
        <f>IF($F87="","",IF($I87&lt;=0,"Paid",IF(AND($J87&lt;&gt;"",TODAY()&gt;$J87),"Overdue",IF(N($G87)&gt;0,"Partial","Upcoming"))))</f>
        <v/>
      </c>
      <c r="L87" s="27">
        <f>IF(OR($F87="",$I87&lt;=0,$J87=""),"",IF(TODAY()&gt;$J87,TODAY()-$J87,""))</f>
        <v/>
      </c>
      <c r="M87" s="22" t="n"/>
    </row>
    <row r="88">
      <c r="B88" s="22" t="n"/>
      <c r="C88" s="22" t="n"/>
      <c r="D88" s="22" t="n"/>
      <c r="E88" s="21" t="n"/>
      <c r="F88" s="23" t="n"/>
      <c r="G88" s="23" t="n"/>
      <c r="H88" s="21" t="n"/>
      <c r="I88" s="18">
        <f>IF($F88="","",$F88-N($G88))</f>
        <v/>
      </c>
      <c r="J88" s="21" t="n"/>
      <c r="K88">
        <f>IF($F88="","",IF($I88&lt;=0,"Paid",IF(AND($J88&lt;&gt;"",TODAY()&gt;$J88),"Overdue",IF(N($G88)&gt;0,"Partial","Upcoming"))))</f>
        <v/>
      </c>
      <c r="L88" s="27">
        <f>IF(OR($F88="",$I88&lt;=0,$J88=""),"",IF(TODAY()&gt;$J88,TODAY()-$J88,""))</f>
        <v/>
      </c>
      <c r="M88" s="22" t="n"/>
    </row>
    <row r="89">
      <c r="B89" s="22" t="n"/>
      <c r="C89" s="22" t="n"/>
      <c r="D89" s="22" t="n"/>
      <c r="E89" s="21" t="n"/>
      <c r="F89" s="23" t="n"/>
      <c r="G89" s="23" t="n"/>
      <c r="H89" s="21" t="n"/>
      <c r="I89" s="18">
        <f>IF($F89="","",$F89-N($G89))</f>
        <v/>
      </c>
      <c r="J89" s="21" t="n"/>
      <c r="K89">
        <f>IF($F89="","",IF($I89&lt;=0,"Paid",IF(AND($J89&lt;&gt;"",TODAY()&gt;$J89),"Overdue",IF(N($G89)&gt;0,"Partial","Upcoming"))))</f>
        <v/>
      </c>
      <c r="L89" s="27">
        <f>IF(OR($F89="",$I89&lt;=0,$J89=""),"",IF(TODAY()&gt;$J89,TODAY()-$J89,""))</f>
        <v/>
      </c>
      <c r="M89" s="22" t="n"/>
    </row>
    <row r="90">
      <c r="B90" s="22" t="n"/>
      <c r="C90" s="22" t="n"/>
      <c r="D90" s="22" t="n"/>
      <c r="E90" s="21" t="n"/>
      <c r="F90" s="23" t="n"/>
      <c r="G90" s="23" t="n"/>
      <c r="H90" s="21" t="n"/>
      <c r="I90" s="18">
        <f>IF($F90="","",$F90-N($G90))</f>
        <v/>
      </c>
      <c r="J90" s="21" t="n"/>
      <c r="K90">
        <f>IF($F90="","",IF($I90&lt;=0,"Paid",IF(AND($J90&lt;&gt;"",TODAY()&gt;$J90),"Overdue",IF(N($G90)&gt;0,"Partial","Upcoming"))))</f>
        <v/>
      </c>
      <c r="L90" s="27">
        <f>IF(OR($F90="",$I90&lt;=0,$J90=""),"",IF(TODAY()&gt;$J90,TODAY()-$J90,""))</f>
        <v/>
      </c>
      <c r="M90" s="22" t="n"/>
    </row>
    <row r="91">
      <c r="B91" s="22" t="n"/>
      <c r="C91" s="22" t="n"/>
      <c r="D91" s="22" t="n"/>
      <c r="E91" s="21" t="n"/>
      <c r="F91" s="23" t="n"/>
      <c r="G91" s="23" t="n"/>
      <c r="H91" s="21" t="n"/>
      <c r="I91" s="18">
        <f>IF($F91="","",$F91-N($G91))</f>
        <v/>
      </c>
      <c r="J91" s="21" t="n"/>
      <c r="K91">
        <f>IF($F91="","",IF($I91&lt;=0,"Paid",IF(AND($J91&lt;&gt;"",TODAY()&gt;$J91),"Overdue",IF(N($G91)&gt;0,"Partial","Upcoming"))))</f>
        <v/>
      </c>
      <c r="L91" s="27">
        <f>IF(OR($F91="",$I91&lt;=0,$J91=""),"",IF(TODAY()&gt;$J91,TODAY()-$J91,""))</f>
        <v/>
      </c>
      <c r="M91" s="22" t="n"/>
    </row>
    <row r="92">
      <c r="B92" s="22" t="n"/>
      <c r="C92" s="22" t="n"/>
      <c r="D92" s="22" t="n"/>
      <c r="E92" s="21" t="n"/>
      <c r="F92" s="23" t="n"/>
      <c r="G92" s="23" t="n"/>
      <c r="H92" s="21" t="n"/>
      <c r="I92" s="18">
        <f>IF($F92="","",$F92-N($G92))</f>
        <v/>
      </c>
      <c r="J92" s="21" t="n"/>
      <c r="K92">
        <f>IF($F92="","",IF($I92&lt;=0,"Paid",IF(AND($J92&lt;&gt;"",TODAY()&gt;$J92),"Overdue",IF(N($G92)&gt;0,"Partial","Upcoming"))))</f>
        <v/>
      </c>
      <c r="L92" s="27">
        <f>IF(OR($F92="",$I92&lt;=0,$J92=""),"",IF(TODAY()&gt;$J92,TODAY()-$J92,""))</f>
        <v/>
      </c>
      <c r="M92" s="22" t="n"/>
    </row>
    <row r="93">
      <c r="B93" s="22" t="n"/>
      <c r="C93" s="22" t="n"/>
      <c r="D93" s="22" t="n"/>
      <c r="E93" s="21" t="n"/>
      <c r="F93" s="23" t="n"/>
      <c r="G93" s="23" t="n"/>
      <c r="H93" s="21" t="n"/>
      <c r="I93" s="18">
        <f>IF($F93="","",$F93-N($G93))</f>
        <v/>
      </c>
      <c r="J93" s="21" t="n"/>
      <c r="K93">
        <f>IF($F93="","",IF($I93&lt;=0,"Paid",IF(AND($J93&lt;&gt;"",TODAY()&gt;$J93),"Overdue",IF(N($G93)&gt;0,"Partial","Upcoming"))))</f>
        <v/>
      </c>
      <c r="L93" s="27">
        <f>IF(OR($F93="",$I93&lt;=0,$J93=""),"",IF(TODAY()&gt;$J93,TODAY()-$J93,""))</f>
        <v/>
      </c>
      <c r="M93" s="22" t="n"/>
    </row>
    <row r="94">
      <c r="B94" s="22" t="n"/>
      <c r="C94" s="22" t="n"/>
      <c r="D94" s="22" t="n"/>
      <c r="E94" s="21" t="n"/>
      <c r="F94" s="23" t="n"/>
      <c r="G94" s="23" t="n"/>
      <c r="H94" s="21" t="n"/>
      <c r="I94" s="18">
        <f>IF($F94="","",$F94-N($G94))</f>
        <v/>
      </c>
      <c r="J94" s="21" t="n"/>
      <c r="K94">
        <f>IF($F94="","",IF($I94&lt;=0,"Paid",IF(AND($J94&lt;&gt;"",TODAY()&gt;$J94),"Overdue",IF(N($G94)&gt;0,"Partial","Upcoming"))))</f>
        <v/>
      </c>
      <c r="L94" s="27">
        <f>IF(OR($F94="",$I94&lt;=0,$J94=""),"",IF(TODAY()&gt;$J94,TODAY()-$J94,""))</f>
        <v/>
      </c>
      <c r="M94" s="22" t="n"/>
    </row>
    <row r="95">
      <c r="B95" s="22" t="n"/>
      <c r="C95" s="22" t="n"/>
      <c r="D95" s="22" t="n"/>
      <c r="E95" s="21" t="n"/>
      <c r="F95" s="23" t="n"/>
      <c r="G95" s="23" t="n"/>
      <c r="H95" s="21" t="n"/>
      <c r="I95" s="18">
        <f>IF($F95="","",$F95-N($G95))</f>
        <v/>
      </c>
      <c r="J95" s="21" t="n"/>
      <c r="K95">
        <f>IF($F95="","",IF($I95&lt;=0,"Paid",IF(AND($J95&lt;&gt;"",TODAY()&gt;$J95),"Overdue",IF(N($G95)&gt;0,"Partial","Upcoming"))))</f>
        <v/>
      </c>
      <c r="L95" s="27">
        <f>IF(OR($F95="",$I95&lt;=0,$J95=""),"",IF(TODAY()&gt;$J95,TODAY()-$J95,""))</f>
        <v/>
      </c>
      <c r="M95" s="22" t="n"/>
    </row>
    <row r="96">
      <c r="B96" s="22" t="n"/>
      <c r="C96" s="22" t="n"/>
      <c r="D96" s="22" t="n"/>
      <c r="E96" s="21" t="n"/>
      <c r="F96" s="23" t="n"/>
      <c r="G96" s="23" t="n"/>
      <c r="H96" s="21" t="n"/>
      <c r="I96" s="18">
        <f>IF($F96="","",$F96-N($G96))</f>
        <v/>
      </c>
      <c r="J96" s="21" t="n"/>
      <c r="K96">
        <f>IF($F96="","",IF($I96&lt;=0,"Paid",IF(AND($J96&lt;&gt;"",TODAY()&gt;$J96),"Overdue",IF(N($G96)&gt;0,"Partial","Upcoming"))))</f>
        <v/>
      </c>
      <c r="L96" s="27">
        <f>IF(OR($F96="",$I96&lt;=0,$J96=""),"",IF(TODAY()&gt;$J96,TODAY()-$J96,""))</f>
        <v/>
      </c>
      <c r="M96" s="22" t="n"/>
    </row>
    <row r="97">
      <c r="B97" s="22" t="n"/>
      <c r="C97" s="22" t="n"/>
      <c r="D97" s="22" t="n"/>
      <c r="E97" s="21" t="n"/>
      <c r="F97" s="23" t="n"/>
      <c r="G97" s="23" t="n"/>
      <c r="H97" s="21" t="n"/>
      <c r="I97" s="18">
        <f>IF($F97="","",$F97-N($G97))</f>
        <v/>
      </c>
      <c r="J97" s="21" t="n"/>
      <c r="K97">
        <f>IF($F97="","",IF($I97&lt;=0,"Paid",IF(AND($J97&lt;&gt;"",TODAY()&gt;$J97),"Overdue",IF(N($G97)&gt;0,"Partial","Upcoming"))))</f>
        <v/>
      </c>
      <c r="L97" s="27">
        <f>IF(OR($F97="",$I97&lt;=0,$J97=""),"",IF(TODAY()&gt;$J97,TODAY()-$J97,""))</f>
        <v/>
      </c>
      <c r="M97" s="22" t="n"/>
    </row>
    <row r="98">
      <c r="B98" s="22" t="n"/>
      <c r="C98" s="22" t="n"/>
      <c r="D98" s="22" t="n"/>
      <c r="E98" s="21" t="n"/>
      <c r="F98" s="23" t="n"/>
      <c r="G98" s="23" t="n"/>
      <c r="H98" s="21" t="n"/>
      <c r="I98" s="18">
        <f>IF($F98="","",$F98-N($G98))</f>
        <v/>
      </c>
      <c r="J98" s="21" t="n"/>
      <c r="K98">
        <f>IF($F98="","",IF($I98&lt;=0,"Paid",IF(AND($J98&lt;&gt;"",TODAY()&gt;$J98),"Overdue",IF(N($G98)&gt;0,"Partial","Upcoming"))))</f>
        <v/>
      </c>
      <c r="L98" s="27">
        <f>IF(OR($F98="",$I98&lt;=0,$J98=""),"",IF(TODAY()&gt;$J98,TODAY()-$J98,""))</f>
        <v/>
      </c>
      <c r="M98" s="22" t="n"/>
    </row>
    <row r="99">
      <c r="B99" s="22" t="n"/>
      <c r="C99" s="22" t="n"/>
      <c r="D99" s="22" t="n"/>
      <c r="E99" s="21" t="n"/>
      <c r="F99" s="23" t="n"/>
      <c r="G99" s="23" t="n"/>
      <c r="H99" s="21" t="n"/>
      <c r="I99" s="18">
        <f>IF($F99="","",$F99-N($G99))</f>
        <v/>
      </c>
      <c r="J99" s="21" t="n"/>
      <c r="K99">
        <f>IF($F99="","",IF($I99&lt;=0,"Paid",IF(AND($J99&lt;&gt;"",TODAY()&gt;$J99),"Overdue",IF(N($G99)&gt;0,"Partial","Upcoming"))))</f>
        <v/>
      </c>
      <c r="L99" s="27">
        <f>IF(OR($F99="",$I99&lt;=0,$J99=""),"",IF(TODAY()&gt;$J99,TODAY()-$J99,""))</f>
        <v/>
      </c>
      <c r="M99" s="22" t="n"/>
    </row>
    <row r="100">
      <c r="B100" s="22" t="n"/>
      <c r="C100" s="22" t="n"/>
      <c r="D100" s="22" t="n"/>
      <c r="E100" s="21" t="n"/>
      <c r="F100" s="23" t="n"/>
      <c r="G100" s="23" t="n"/>
      <c r="H100" s="21" t="n"/>
      <c r="I100" s="18">
        <f>IF($F100="","",$F100-N($G100))</f>
        <v/>
      </c>
      <c r="J100" s="21" t="n"/>
      <c r="K100">
        <f>IF($F100="","",IF($I100&lt;=0,"Paid",IF(AND($J100&lt;&gt;"",TODAY()&gt;$J100),"Overdue",IF(N($G100)&gt;0,"Partial","Upcoming"))))</f>
        <v/>
      </c>
      <c r="L100" s="27">
        <f>IF(OR($F100="",$I100&lt;=0,$J100=""),"",IF(TODAY()&gt;$J100,TODAY()-$J100,""))</f>
        <v/>
      </c>
      <c r="M100" s="22" t="n"/>
    </row>
    <row r="101">
      <c r="B101" s="22" t="n"/>
      <c r="C101" s="22" t="n"/>
      <c r="D101" s="22" t="n"/>
      <c r="E101" s="21" t="n"/>
      <c r="F101" s="23" t="n"/>
      <c r="G101" s="23" t="n"/>
      <c r="H101" s="21" t="n"/>
      <c r="I101" s="18">
        <f>IF($F101="","",$F101-N($G101))</f>
        <v/>
      </c>
      <c r="J101" s="21" t="n"/>
      <c r="K101">
        <f>IF($F101="","",IF($I101&lt;=0,"Paid",IF(AND($J101&lt;&gt;"",TODAY()&gt;$J101),"Overdue",IF(N($G101)&gt;0,"Partial","Upcoming"))))</f>
        <v/>
      </c>
      <c r="L101" s="27">
        <f>IF(OR($F101="",$I101&lt;=0,$J101=""),"",IF(TODAY()&gt;$J101,TODAY()-$J101,""))</f>
        <v/>
      </c>
      <c r="M101" s="22" t="n"/>
    </row>
    <row r="102">
      <c r="B102" s="22" t="n"/>
      <c r="C102" s="22" t="n"/>
      <c r="D102" s="22" t="n"/>
      <c r="E102" s="21" t="n"/>
      <c r="F102" s="23" t="n"/>
      <c r="G102" s="23" t="n"/>
      <c r="H102" s="21" t="n"/>
      <c r="I102" s="18">
        <f>IF($F102="","",$F102-N($G102))</f>
        <v/>
      </c>
      <c r="J102" s="21" t="n"/>
      <c r="K102">
        <f>IF($F102="","",IF($I102&lt;=0,"Paid",IF(AND($J102&lt;&gt;"",TODAY()&gt;$J102),"Overdue",IF(N($G102)&gt;0,"Partial","Upcoming"))))</f>
        <v/>
      </c>
      <c r="L102" s="27">
        <f>IF(OR($F102="",$I102&lt;=0,$J102=""),"",IF(TODAY()&gt;$J102,TODAY()-$J102,""))</f>
        <v/>
      </c>
      <c r="M102" s="22" t="n"/>
    </row>
    <row r="103">
      <c r="B103" s="22" t="n"/>
      <c r="C103" s="22" t="n"/>
      <c r="D103" s="22" t="n"/>
      <c r="E103" s="21" t="n"/>
      <c r="F103" s="23" t="n"/>
      <c r="G103" s="23" t="n"/>
      <c r="H103" s="21" t="n"/>
      <c r="I103" s="18">
        <f>IF($F103="","",$F103-N($G103))</f>
        <v/>
      </c>
      <c r="J103" s="21" t="n"/>
      <c r="K103">
        <f>IF($F103="","",IF($I103&lt;=0,"Paid",IF(AND($J103&lt;&gt;"",TODAY()&gt;$J103),"Overdue",IF(N($G103)&gt;0,"Partial","Upcoming"))))</f>
        <v/>
      </c>
      <c r="L103" s="27">
        <f>IF(OR($F103="",$I103&lt;=0,$J103=""),"",IF(TODAY()&gt;$J103,TODAY()-$J103,""))</f>
        <v/>
      </c>
      <c r="M103" s="22" t="n"/>
    </row>
    <row r="104">
      <c r="B104" s="22" t="n"/>
      <c r="C104" s="22" t="n"/>
      <c r="D104" s="22" t="n"/>
      <c r="E104" s="21" t="n"/>
      <c r="F104" s="23" t="n"/>
      <c r="G104" s="23" t="n"/>
      <c r="H104" s="21" t="n"/>
      <c r="I104" s="18">
        <f>IF($F104="","",$F104-N($G104))</f>
        <v/>
      </c>
      <c r="J104" s="21" t="n"/>
      <c r="K104">
        <f>IF($F104="","",IF($I104&lt;=0,"Paid",IF(AND($J104&lt;&gt;"",TODAY()&gt;$J104),"Overdue",IF(N($G104)&gt;0,"Partial","Upcoming"))))</f>
        <v/>
      </c>
      <c r="L104" s="27">
        <f>IF(OR($F104="",$I104&lt;=0,$J104=""),"",IF(TODAY()&gt;$J104,TODAY()-$J104,""))</f>
        <v/>
      </c>
      <c r="M104" s="22" t="n"/>
    </row>
    <row r="105">
      <c r="B105" s="22" t="n"/>
      <c r="C105" s="22" t="n"/>
      <c r="D105" s="22" t="n"/>
      <c r="E105" s="21" t="n"/>
      <c r="F105" s="23" t="n"/>
      <c r="G105" s="23" t="n"/>
      <c r="H105" s="21" t="n"/>
      <c r="I105" s="18">
        <f>IF($F105="","",$F105-N($G105))</f>
        <v/>
      </c>
      <c r="J105" s="21" t="n"/>
      <c r="K105">
        <f>IF($F105="","",IF($I105&lt;=0,"Paid",IF(AND($J105&lt;&gt;"",TODAY()&gt;$J105),"Overdue",IF(N($G105)&gt;0,"Partial","Upcoming"))))</f>
        <v/>
      </c>
      <c r="L105" s="27">
        <f>IF(OR($F105="",$I105&lt;=0,$J105=""),"",IF(TODAY()&gt;$J105,TODAY()-$J105,""))</f>
        <v/>
      </c>
      <c r="M105" s="22" t="n"/>
    </row>
    <row r="106">
      <c r="B106" s="22" t="n"/>
      <c r="C106" s="22" t="n"/>
      <c r="D106" s="22" t="n"/>
      <c r="E106" s="21" t="n"/>
      <c r="F106" s="23" t="n"/>
      <c r="G106" s="23" t="n"/>
      <c r="H106" s="21" t="n"/>
      <c r="I106" s="18">
        <f>IF($F106="","",$F106-N($G106))</f>
        <v/>
      </c>
      <c r="J106" s="21" t="n"/>
      <c r="K106">
        <f>IF($F106="","",IF($I106&lt;=0,"Paid",IF(AND($J106&lt;&gt;"",TODAY()&gt;$J106),"Overdue",IF(N($G106)&gt;0,"Partial","Upcoming"))))</f>
        <v/>
      </c>
      <c r="L106" s="27">
        <f>IF(OR($F106="",$I106&lt;=0,$J106=""),"",IF(TODAY()&gt;$J106,TODAY()-$J106,""))</f>
        <v/>
      </c>
      <c r="M106" s="22" t="n"/>
    </row>
    <row r="107">
      <c r="B107" s="22" t="n"/>
      <c r="C107" s="22" t="n"/>
      <c r="D107" s="22" t="n"/>
      <c r="E107" s="21" t="n"/>
      <c r="F107" s="23" t="n"/>
      <c r="G107" s="23" t="n"/>
      <c r="H107" s="21" t="n"/>
      <c r="I107" s="18">
        <f>IF($F107="","",$F107-N($G107))</f>
        <v/>
      </c>
      <c r="J107" s="21" t="n"/>
      <c r="K107">
        <f>IF($F107="","",IF($I107&lt;=0,"Paid",IF(AND($J107&lt;&gt;"",TODAY()&gt;$J107),"Overdue",IF(N($G107)&gt;0,"Partial","Upcoming"))))</f>
        <v/>
      </c>
      <c r="L107" s="27">
        <f>IF(OR($F107="",$I107&lt;=0,$J107=""),"",IF(TODAY()&gt;$J107,TODAY()-$J107,""))</f>
        <v/>
      </c>
      <c r="M107" s="22" t="n"/>
    </row>
    <row r="108">
      <c r="B108" s="22" t="n"/>
      <c r="C108" s="22" t="n"/>
      <c r="D108" s="22" t="n"/>
      <c r="E108" s="21" t="n"/>
      <c r="F108" s="23" t="n"/>
      <c r="G108" s="23" t="n"/>
      <c r="H108" s="21" t="n"/>
      <c r="I108" s="18">
        <f>IF($F108="","",$F108-N($G108))</f>
        <v/>
      </c>
      <c r="J108" s="21" t="n"/>
      <c r="K108">
        <f>IF($F108="","",IF($I108&lt;=0,"Paid",IF(AND($J108&lt;&gt;"",TODAY()&gt;$J108),"Overdue",IF(N($G108)&gt;0,"Partial","Upcoming"))))</f>
        <v/>
      </c>
      <c r="L108" s="27">
        <f>IF(OR($F108="",$I108&lt;=0,$J108=""),"",IF(TODAY()&gt;$J108,TODAY()-$J108,""))</f>
        <v/>
      </c>
      <c r="M108" s="22" t="n"/>
    </row>
    <row r="109">
      <c r="B109" s="22" t="n"/>
      <c r="C109" s="22" t="n"/>
      <c r="D109" s="22" t="n"/>
      <c r="E109" s="21" t="n"/>
      <c r="F109" s="23" t="n"/>
      <c r="G109" s="23" t="n"/>
      <c r="H109" s="21" t="n"/>
      <c r="I109" s="18">
        <f>IF($F109="","",$F109-N($G109))</f>
        <v/>
      </c>
      <c r="J109" s="21" t="n"/>
      <c r="K109">
        <f>IF($F109="","",IF($I109&lt;=0,"Paid",IF(AND($J109&lt;&gt;"",TODAY()&gt;$J109),"Overdue",IF(N($G109)&gt;0,"Partial","Upcoming"))))</f>
        <v/>
      </c>
      <c r="L109" s="27">
        <f>IF(OR($F109="",$I109&lt;=0,$J109=""),"",IF(TODAY()&gt;$J109,TODAY()-$J109,""))</f>
        <v/>
      </c>
      <c r="M109" s="22" t="n"/>
    </row>
    <row r="110">
      <c r="B110" s="22" t="n"/>
      <c r="C110" s="22" t="n"/>
      <c r="D110" s="22" t="n"/>
      <c r="E110" s="21" t="n"/>
      <c r="F110" s="23" t="n"/>
      <c r="G110" s="23" t="n"/>
      <c r="H110" s="21" t="n"/>
      <c r="I110" s="18">
        <f>IF($F110="","",$F110-N($G110))</f>
        <v/>
      </c>
      <c r="J110" s="21" t="n"/>
      <c r="K110">
        <f>IF($F110="","",IF($I110&lt;=0,"Paid",IF(AND($J110&lt;&gt;"",TODAY()&gt;$J110),"Overdue",IF(N($G110)&gt;0,"Partial","Upcoming"))))</f>
        <v/>
      </c>
      <c r="L110" s="27">
        <f>IF(OR($F110="",$I110&lt;=0,$J110=""),"",IF(TODAY()&gt;$J110,TODAY()-$J110,""))</f>
        <v/>
      </c>
      <c r="M110" s="22" t="n"/>
    </row>
    <row r="111">
      <c r="B111" s="22" t="n"/>
      <c r="C111" s="22" t="n"/>
      <c r="D111" s="22" t="n"/>
      <c r="E111" s="21" t="n"/>
      <c r="F111" s="23" t="n"/>
      <c r="G111" s="23" t="n"/>
      <c r="H111" s="21" t="n"/>
      <c r="I111" s="18">
        <f>IF($F111="","",$F111-N($G111))</f>
        <v/>
      </c>
      <c r="J111" s="21" t="n"/>
      <c r="K111">
        <f>IF($F111="","",IF($I111&lt;=0,"Paid",IF(AND($J111&lt;&gt;"",TODAY()&gt;$J111),"Overdue",IF(N($G111)&gt;0,"Partial","Upcoming"))))</f>
        <v/>
      </c>
      <c r="L111" s="27">
        <f>IF(OR($F111="",$I111&lt;=0,$J111=""),"",IF(TODAY()&gt;$J111,TODAY()-$J111,""))</f>
        <v/>
      </c>
      <c r="M111" s="22" t="n"/>
    </row>
    <row r="112">
      <c r="B112" s="22" t="n"/>
      <c r="C112" s="22" t="n"/>
      <c r="D112" s="22" t="n"/>
      <c r="E112" s="21" t="n"/>
      <c r="F112" s="23" t="n"/>
      <c r="G112" s="23" t="n"/>
      <c r="H112" s="21" t="n"/>
      <c r="I112" s="18">
        <f>IF($F112="","",$F112-N($G112))</f>
        <v/>
      </c>
      <c r="J112" s="21" t="n"/>
      <c r="K112">
        <f>IF($F112="","",IF($I112&lt;=0,"Paid",IF(AND($J112&lt;&gt;"",TODAY()&gt;$J112),"Overdue",IF(N($G112)&gt;0,"Partial","Upcoming"))))</f>
        <v/>
      </c>
      <c r="L112" s="27">
        <f>IF(OR($F112="",$I112&lt;=0,$J112=""),"",IF(TODAY()&gt;$J112,TODAY()-$J112,""))</f>
        <v/>
      </c>
      <c r="M112" s="22" t="n"/>
    </row>
    <row r="113">
      <c r="B113" s="22" t="n"/>
      <c r="C113" s="22" t="n"/>
      <c r="D113" s="22" t="n"/>
      <c r="E113" s="21" t="n"/>
      <c r="F113" s="23" t="n"/>
      <c r="G113" s="23" t="n"/>
      <c r="H113" s="21" t="n"/>
      <c r="I113" s="18">
        <f>IF($F113="","",$F113-N($G113))</f>
        <v/>
      </c>
      <c r="J113" s="21" t="n"/>
      <c r="K113">
        <f>IF($F113="","",IF($I113&lt;=0,"Paid",IF(AND($J113&lt;&gt;"",TODAY()&gt;$J113),"Overdue",IF(N($G113)&gt;0,"Partial","Upcoming"))))</f>
        <v/>
      </c>
      <c r="L113" s="27">
        <f>IF(OR($F113="",$I113&lt;=0,$J113=""),"",IF(TODAY()&gt;$J113,TODAY()-$J113,""))</f>
        <v/>
      </c>
      <c r="M113" s="22" t="n"/>
    </row>
    <row r="114">
      <c r="B114" s="22" t="n"/>
      <c r="C114" s="22" t="n"/>
      <c r="D114" s="22" t="n"/>
      <c r="E114" s="21" t="n"/>
      <c r="F114" s="23" t="n"/>
      <c r="G114" s="23" t="n"/>
      <c r="H114" s="21" t="n"/>
      <c r="I114" s="18">
        <f>IF($F114="","",$F114-N($G114))</f>
        <v/>
      </c>
      <c r="J114" s="21" t="n"/>
      <c r="K114">
        <f>IF($F114="","",IF($I114&lt;=0,"Paid",IF(AND($J114&lt;&gt;"",TODAY()&gt;$J114),"Overdue",IF(N($G114)&gt;0,"Partial","Upcoming"))))</f>
        <v/>
      </c>
      <c r="L114" s="27">
        <f>IF(OR($F114="",$I114&lt;=0,$J114=""),"",IF(TODAY()&gt;$J114,TODAY()-$J114,""))</f>
        <v/>
      </c>
      <c r="M114" s="22" t="n"/>
    </row>
    <row r="115">
      <c r="B115" s="22" t="n"/>
      <c r="C115" s="22" t="n"/>
      <c r="D115" s="22" t="n"/>
      <c r="E115" s="21" t="n"/>
      <c r="F115" s="23" t="n"/>
      <c r="G115" s="23" t="n"/>
      <c r="H115" s="21" t="n"/>
      <c r="I115" s="18">
        <f>IF($F115="","",$F115-N($G115))</f>
        <v/>
      </c>
      <c r="J115" s="21" t="n"/>
      <c r="K115">
        <f>IF($F115="","",IF($I115&lt;=0,"Paid",IF(AND($J115&lt;&gt;"",TODAY()&gt;$J115),"Overdue",IF(N($G115)&gt;0,"Partial","Upcoming"))))</f>
        <v/>
      </c>
      <c r="L115" s="27">
        <f>IF(OR($F115="",$I115&lt;=0,$J115=""),"",IF(TODAY()&gt;$J115,TODAY()-$J115,""))</f>
        <v/>
      </c>
      <c r="M115" s="22" t="n"/>
    </row>
    <row r="116">
      <c r="B116" s="22" t="n"/>
      <c r="C116" s="22" t="n"/>
      <c r="D116" s="22" t="n"/>
      <c r="E116" s="21" t="n"/>
      <c r="F116" s="23" t="n"/>
      <c r="G116" s="23" t="n"/>
      <c r="H116" s="21" t="n"/>
      <c r="I116" s="18">
        <f>IF($F116="","",$F116-N($G116))</f>
        <v/>
      </c>
      <c r="J116" s="21" t="n"/>
      <c r="K116">
        <f>IF($F116="","",IF($I116&lt;=0,"Paid",IF(AND($J116&lt;&gt;"",TODAY()&gt;$J116),"Overdue",IF(N($G116)&gt;0,"Partial","Upcoming"))))</f>
        <v/>
      </c>
      <c r="L116" s="27">
        <f>IF(OR($F116="",$I116&lt;=0,$J116=""),"",IF(TODAY()&gt;$J116,TODAY()-$J116,""))</f>
        <v/>
      </c>
      <c r="M116" s="22" t="n"/>
    </row>
    <row r="117">
      <c r="B117" s="22" t="n"/>
      <c r="C117" s="22" t="n"/>
      <c r="D117" s="22" t="n"/>
      <c r="E117" s="21" t="n"/>
      <c r="F117" s="23" t="n"/>
      <c r="G117" s="23" t="n"/>
      <c r="H117" s="21" t="n"/>
      <c r="I117" s="18">
        <f>IF($F117="","",$F117-N($G117))</f>
        <v/>
      </c>
      <c r="J117" s="21" t="n"/>
      <c r="K117">
        <f>IF($F117="","",IF($I117&lt;=0,"Paid",IF(AND($J117&lt;&gt;"",TODAY()&gt;$J117),"Overdue",IF(N($G117)&gt;0,"Partial","Upcoming"))))</f>
        <v/>
      </c>
      <c r="L117" s="27">
        <f>IF(OR($F117="",$I117&lt;=0,$J117=""),"",IF(TODAY()&gt;$J117,TODAY()-$J117,""))</f>
        <v/>
      </c>
      <c r="M117" s="22" t="n"/>
    </row>
    <row r="118">
      <c r="B118" s="22" t="n"/>
      <c r="C118" s="22" t="n"/>
      <c r="D118" s="22" t="n"/>
      <c r="E118" s="21" t="n"/>
      <c r="F118" s="23" t="n"/>
      <c r="G118" s="23" t="n"/>
      <c r="H118" s="21" t="n"/>
      <c r="I118" s="18">
        <f>IF($F118="","",$F118-N($G118))</f>
        <v/>
      </c>
      <c r="J118" s="21" t="n"/>
      <c r="K118">
        <f>IF($F118="","",IF($I118&lt;=0,"Paid",IF(AND($J118&lt;&gt;"",TODAY()&gt;$J118),"Overdue",IF(N($G118)&gt;0,"Partial","Upcoming"))))</f>
        <v/>
      </c>
      <c r="L118" s="27">
        <f>IF(OR($F118="",$I118&lt;=0,$J118=""),"",IF(TODAY()&gt;$J118,TODAY()-$J118,""))</f>
        <v/>
      </c>
      <c r="M118" s="22" t="n"/>
    </row>
    <row r="119">
      <c r="B119" s="22" t="n"/>
      <c r="C119" s="22" t="n"/>
      <c r="D119" s="22" t="n"/>
      <c r="E119" s="21" t="n"/>
      <c r="F119" s="23" t="n"/>
      <c r="G119" s="23" t="n"/>
      <c r="H119" s="21" t="n"/>
      <c r="I119" s="18">
        <f>IF($F119="","",$F119-N($G119))</f>
        <v/>
      </c>
      <c r="J119" s="21" t="n"/>
      <c r="K119">
        <f>IF($F119="","",IF($I119&lt;=0,"Paid",IF(AND($J119&lt;&gt;"",TODAY()&gt;$J119),"Overdue",IF(N($G119)&gt;0,"Partial","Upcoming"))))</f>
        <v/>
      </c>
      <c r="L119" s="27">
        <f>IF(OR($F119="",$I119&lt;=0,$J119=""),"",IF(TODAY()&gt;$J119,TODAY()-$J119,""))</f>
        <v/>
      </c>
      <c r="M119" s="22" t="n"/>
    </row>
    <row r="120">
      <c r="B120" s="22" t="n"/>
      <c r="C120" s="22" t="n"/>
      <c r="D120" s="22" t="n"/>
      <c r="E120" s="21" t="n"/>
      <c r="F120" s="23" t="n"/>
      <c r="G120" s="23" t="n"/>
      <c r="H120" s="21" t="n"/>
      <c r="I120" s="18">
        <f>IF($F120="","",$F120-N($G120))</f>
        <v/>
      </c>
      <c r="J120" s="21" t="n"/>
      <c r="K120">
        <f>IF($F120="","",IF($I120&lt;=0,"Paid",IF(AND($J120&lt;&gt;"",TODAY()&gt;$J120),"Overdue",IF(N($G120)&gt;0,"Partial","Upcoming"))))</f>
        <v/>
      </c>
      <c r="L120" s="27">
        <f>IF(OR($F120="",$I120&lt;=0,$J120=""),"",IF(TODAY()&gt;$J120,TODAY()-$J120,""))</f>
        <v/>
      </c>
      <c r="M120" s="22" t="n"/>
    </row>
    <row r="121">
      <c r="B121" s="22" t="n"/>
      <c r="C121" s="22" t="n"/>
      <c r="D121" s="22" t="n"/>
      <c r="E121" s="21" t="n"/>
      <c r="F121" s="23" t="n"/>
      <c r="G121" s="23" t="n"/>
      <c r="H121" s="21" t="n"/>
      <c r="I121" s="18">
        <f>IF($F121="","",$F121-N($G121))</f>
        <v/>
      </c>
      <c r="J121" s="21" t="n"/>
      <c r="K121">
        <f>IF($F121="","",IF($I121&lt;=0,"Paid",IF(AND($J121&lt;&gt;"",TODAY()&gt;$J121),"Overdue",IF(N($G121)&gt;0,"Partial","Upcoming"))))</f>
        <v/>
      </c>
      <c r="L121" s="27">
        <f>IF(OR($F121="",$I121&lt;=0,$J121=""),"",IF(TODAY()&gt;$J121,TODAY()-$J121,""))</f>
        <v/>
      </c>
      <c r="M121" s="22" t="n"/>
    </row>
    <row r="122">
      <c r="B122" s="22" t="n"/>
      <c r="C122" s="22" t="n"/>
      <c r="D122" s="22" t="n"/>
      <c r="E122" s="21" t="n"/>
      <c r="F122" s="23" t="n"/>
      <c r="G122" s="23" t="n"/>
      <c r="H122" s="21" t="n"/>
      <c r="I122" s="18">
        <f>IF($F122="","",$F122-N($G122))</f>
        <v/>
      </c>
      <c r="J122" s="21" t="n"/>
      <c r="K122">
        <f>IF($F122="","",IF($I122&lt;=0,"Paid",IF(AND($J122&lt;&gt;"",TODAY()&gt;$J122),"Overdue",IF(N($G122)&gt;0,"Partial","Upcoming"))))</f>
        <v/>
      </c>
      <c r="L122" s="27">
        <f>IF(OR($F122="",$I122&lt;=0,$J122=""),"",IF(TODAY()&gt;$J122,TODAY()-$J122,""))</f>
        <v/>
      </c>
      <c r="M122" s="22" t="n"/>
    </row>
    <row r="123">
      <c r="B123" s="22" t="n"/>
      <c r="C123" s="22" t="n"/>
      <c r="D123" s="22" t="n"/>
      <c r="E123" s="21" t="n"/>
      <c r="F123" s="23" t="n"/>
      <c r="G123" s="23" t="n"/>
      <c r="H123" s="21" t="n"/>
      <c r="I123" s="18">
        <f>IF($F123="","",$F123-N($G123))</f>
        <v/>
      </c>
      <c r="J123" s="21" t="n"/>
      <c r="K123">
        <f>IF($F123="","",IF($I123&lt;=0,"Paid",IF(AND($J123&lt;&gt;"",TODAY()&gt;$J123),"Overdue",IF(N($G123)&gt;0,"Partial","Upcoming"))))</f>
        <v/>
      </c>
      <c r="L123" s="27">
        <f>IF(OR($F123="",$I123&lt;=0,$J123=""),"",IF(TODAY()&gt;$J123,TODAY()-$J123,""))</f>
        <v/>
      </c>
      <c r="M123" s="22" t="n"/>
    </row>
    <row r="124">
      <c r="B124" s="22" t="n"/>
      <c r="C124" s="22" t="n"/>
      <c r="D124" s="22" t="n"/>
      <c r="E124" s="21" t="n"/>
      <c r="F124" s="23" t="n"/>
      <c r="G124" s="23" t="n"/>
      <c r="H124" s="21" t="n"/>
      <c r="I124" s="18">
        <f>IF($F124="","",$F124-N($G124))</f>
        <v/>
      </c>
      <c r="J124" s="21" t="n"/>
      <c r="K124">
        <f>IF($F124="","",IF($I124&lt;=0,"Paid",IF(AND($J124&lt;&gt;"",TODAY()&gt;$J124),"Overdue",IF(N($G124)&gt;0,"Partial","Upcoming"))))</f>
        <v/>
      </c>
      <c r="L124" s="27">
        <f>IF(OR($F124="",$I124&lt;=0,$J124=""),"",IF(TODAY()&gt;$J124,TODAY()-$J124,""))</f>
        <v/>
      </c>
      <c r="M124" s="22" t="n"/>
    </row>
    <row r="125">
      <c r="B125" s="22" t="n"/>
      <c r="C125" s="22" t="n"/>
      <c r="D125" s="22" t="n"/>
      <c r="E125" s="21" t="n"/>
      <c r="F125" s="23" t="n"/>
      <c r="G125" s="23" t="n"/>
      <c r="H125" s="21" t="n"/>
      <c r="I125" s="18">
        <f>IF($F125="","",$F125-N($G125))</f>
        <v/>
      </c>
      <c r="J125" s="21" t="n"/>
      <c r="K125">
        <f>IF($F125="","",IF($I125&lt;=0,"Paid",IF(AND($J125&lt;&gt;"",TODAY()&gt;$J125),"Overdue",IF(N($G125)&gt;0,"Partial","Upcoming"))))</f>
        <v/>
      </c>
      <c r="L125" s="27">
        <f>IF(OR($F125="",$I125&lt;=0,$J125=""),"",IF(TODAY()&gt;$J125,TODAY()-$J125,""))</f>
        <v/>
      </c>
      <c r="M125" s="22" t="n"/>
    </row>
    <row r="126">
      <c r="B126" s="22" t="n"/>
      <c r="C126" s="22" t="n"/>
      <c r="D126" s="22" t="n"/>
      <c r="E126" s="21" t="n"/>
      <c r="F126" s="23" t="n"/>
      <c r="G126" s="23" t="n"/>
      <c r="H126" s="21" t="n"/>
      <c r="I126" s="18">
        <f>IF($F126="","",$F126-N($G126))</f>
        <v/>
      </c>
      <c r="J126" s="21" t="n"/>
      <c r="K126">
        <f>IF($F126="","",IF($I126&lt;=0,"Paid",IF(AND($J126&lt;&gt;"",TODAY()&gt;$J126),"Overdue",IF(N($G126)&gt;0,"Partial","Upcoming"))))</f>
        <v/>
      </c>
      <c r="L126" s="27">
        <f>IF(OR($F126="",$I126&lt;=0,$J126=""),"",IF(TODAY()&gt;$J126,TODAY()-$J126,""))</f>
        <v/>
      </c>
      <c r="M126" s="22" t="n"/>
    </row>
    <row r="127">
      <c r="B127" s="22" t="n"/>
      <c r="C127" s="22" t="n"/>
      <c r="D127" s="22" t="n"/>
      <c r="E127" s="21" t="n"/>
      <c r="F127" s="23" t="n"/>
      <c r="G127" s="23" t="n"/>
      <c r="H127" s="21" t="n"/>
      <c r="I127" s="18">
        <f>IF($F127="","",$F127-N($G127))</f>
        <v/>
      </c>
      <c r="J127" s="21" t="n"/>
      <c r="K127">
        <f>IF($F127="","",IF($I127&lt;=0,"Paid",IF(AND($J127&lt;&gt;"",TODAY()&gt;$J127),"Overdue",IF(N($G127)&gt;0,"Partial","Upcoming"))))</f>
        <v/>
      </c>
      <c r="L127" s="27">
        <f>IF(OR($F127="",$I127&lt;=0,$J127=""),"",IF(TODAY()&gt;$J127,TODAY()-$J127,""))</f>
        <v/>
      </c>
      <c r="M127" s="22" t="n"/>
    </row>
    <row r="128">
      <c r="B128" s="22" t="n"/>
      <c r="C128" s="22" t="n"/>
      <c r="D128" s="22" t="n"/>
      <c r="E128" s="21" t="n"/>
      <c r="F128" s="23" t="n"/>
      <c r="G128" s="23" t="n"/>
      <c r="H128" s="21" t="n"/>
      <c r="I128" s="18">
        <f>IF($F128="","",$F128-N($G128))</f>
        <v/>
      </c>
      <c r="J128" s="21" t="n"/>
      <c r="K128">
        <f>IF($F128="","",IF($I128&lt;=0,"Paid",IF(AND($J128&lt;&gt;"",TODAY()&gt;$J128),"Overdue",IF(N($G128)&gt;0,"Partial","Upcoming"))))</f>
        <v/>
      </c>
      <c r="L128" s="27">
        <f>IF(OR($F128="",$I128&lt;=0,$J128=""),"",IF(TODAY()&gt;$J128,TODAY()-$J128,""))</f>
        <v/>
      </c>
      <c r="M128" s="22" t="n"/>
    </row>
    <row r="129">
      <c r="B129" s="22" t="n"/>
      <c r="C129" s="22" t="n"/>
      <c r="D129" s="22" t="n"/>
      <c r="E129" s="21" t="n"/>
      <c r="F129" s="23" t="n"/>
      <c r="G129" s="23" t="n"/>
      <c r="H129" s="21" t="n"/>
      <c r="I129" s="18">
        <f>IF($F129="","",$F129-N($G129))</f>
        <v/>
      </c>
      <c r="J129" s="21" t="n"/>
      <c r="K129">
        <f>IF($F129="","",IF($I129&lt;=0,"Paid",IF(AND($J129&lt;&gt;"",TODAY()&gt;$J129),"Overdue",IF(N($G129)&gt;0,"Partial","Upcoming"))))</f>
        <v/>
      </c>
      <c r="L129" s="27">
        <f>IF(OR($F129="",$I129&lt;=0,$J129=""),"",IF(TODAY()&gt;$J129,TODAY()-$J129,""))</f>
        <v/>
      </c>
      <c r="M129" s="22" t="n"/>
    </row>
    <row r="130">
      <c r="B130" s="22" t="n"/>
      <c r="C130" s="22" t="n"/>
      <c r="D130" s="22" t="n"/>
      <c r="E130" s="21" t="n"/>
      <c r="F130" s="23" t="n"/>
      <c r="G130" s="23" t="n"/>
      <c r="H130" s="21" t="n"/>
      <c r="I130" s="18">
        <f>IF($F130="","",$F130-N($G130))</f>
        <v/>
      </c>
      <c r="J130" s="21" t="n"/>
      <c r="K130">
        <f>IF($F130="","",IF($I130&lt;=0,"Paid",IF(AND($J130&lt;&gt;"",TODAY()&gt;$J130),"Overdue",IF(N($G130)&gt;0,"Partial","Upcoming"))))</f>
        <v/>
      </c>
      <c r="L130" s="27">
        <f>IF(OR($F130="",$I130&lt;=0,$J130=""),"",IF(TODAY()&gt;$J130,TODAY()-$J130,""))</f>
        <v/>
      </c>
      <c r="M130" s="22" t="n"/>
    </row>
    <row r="131">
      <c r="B131" s="22" t="n"/>
      <c r="C131" s="22" t="n"/>
      <c r="D131" s="22" t="n"/>
      <c r="E131" s="21" t="n"/>
      <c r="F131" s="23" t="n"/>
      <c r="G131" s="23" t="n"/>
      <c r="H131" s="21" t="n"/>
      <c r="I131" s="18">
        <f>IF($F131="","",$F131-N($G131))</f>
        <v/>
      </c>
      <c r="J131" s="21" t="n"/>
      <c r="K131">
        <f>IF($F131="","",IF($I131&lt;=0,"Paid",IF(AND($J131&lt;&gt;"",TODAY()&gt;$J131),"Overdue",IF(N($G131)&gt;0,"Partial","Upcoming"))))</f>
        <v/>
      </c>
      <c r="L131" s="27">
        <f>IF(OR($F131="",$I131&lt;=0,$J131=""),"",IF(TODAY()&gt;$J131,TODAY()-$J131,""))</f>
        <v/>
      </c>
      <c r="M131" s="22" t="n"/>
    </row>
    <row r="132">
      <c r="B132" s="22" t="n"/>
      <c r="C132" s="22" t="n"/>
      <c r="D132" s="22" t="n"/>
      <c r="E132" s="21" t="n"/>
      <c r="F132" s="23" t="n"/>
      <c r="G132" s="23" t="n"/>
      <c r="H132" s="21" t="n"/>
      <c r="I132" s="18">
        <f>IF($F132="","",$F132-N($G132))</f>
        <v/>
      </c>
      <c r="J132" s="21" t="n"/>
      <c r="K132">
        <f>IF($F132="","",IF($I132&lt;=0,"Paid",IF(AND($J132&lt;&gt;"",TODAY()&gt;$J132),"Overdue",IF(N($G132)&gt;0,"Partial","Upcoming"))))</f>
        <v/>
      </c>
      <c r="L132" s="27">
        <f>IF(OR($F132="",$I132&lt;=0,$J132=""),"",IF(TODAY()&gt;$J132,TODAY()-$J132,""))</f>
        <v/>
      </c>
      <c r="M132" s="22" t="n"/>
    </row>
    <row r="133">
      <c r="B133" s="22" t="n"/>
      <c r="C133" s="22" t="n"/>
      <c r="D133" s="22" t="n"/>
      <c r="E133" s="21" t="n"/>
      <c r="F133" s="23" t="n"/>
      <c r="G133" s="23" t="n"/>
      <c r="H133" s="21" t="n"/>
      <c r="I133" s="18">
        <f>IF($F133="","",$F133-N($G133))</f>
        <v/>
      </c>
      <c r="J133" s="21" t="n"/>
      <c r="K133">
        <f>IF($F133="","",IF($I133&lt;=0,"Paid",IF(AND($J133&lt;&gt;"",TODAY()&gt;$J133),"Overdue",IF(N($G133)&gt;0,"Partial","Upcoming"))))</f>
        <v/>
      </c>
      <c r="L133" s="27">
        <f>IF(OR($F133="",$I133&lt;=0,$J133=""),"",IF(TODAY()&gt;$J133,TODAY()-$J133,""))</f>
        <v/>
      </c>
      <c r="M133" s="22" t="n"/>
    </row>
    <row r="134">
      <c r="B134" s="22" t="n"/>
      <c r="C134" s="22" t="n"/>
      <c r="D134" s="22" t="n"/>
      <c r="E134" s="21" t="n"/>
      <c r="F134" s="23" t="n"/>
      <c r="G134" s="23" t="n"/>
      <c r="H134" s="21" t="n"/>
      <c r="I134" s="18">
        <f>IF($F134="","",$F134-N($G134))</f>
        <v/>
      </c>
      <c r="J134" s="21" t="n"/>
      <c r="K134">
        <f>IF($F134="","",IF($I134&lt;=0,"Paid",IF(AND($J134&lt;&gt;"",TODAY()&gt;$J134),"Overdue",IF(N($G134)&gt;0,"Partial","Upcoming"))))</f>
        <v/>
      </c>
      <c r="L134" s="27">
        <f>IF(OR($F134="",$I134&lt;=0,$J134=""),"",IF(TODAY()&gt;$J134,TODAY()-$J134,""))</f>
        <v/>
      </c>
      <c r="M134" s="22" t="n"/>
    </row>
    <row r="135">
      <c r="B135" s="22" t="n"/>
      <c r="C135" s="22" t="n"/>
      <c r="D135" s="22" t="n"/>
      <c r="E135" s="21" t="n"/>
      <c r="F135" s="23" t="n"/>
      <c r="G135" s="23" t="n"/>
      <c r="H135" s="21" t="n"/>
      <c r="I135" s="18">
        <f>IF($F135="","",$F135-N($G135))</f>
        <v/>
      </c>
      <c r="J135" s="21" t="n"/>
      <c r="K135">
        <f>IF($F135="","",IF($I135&lt;=0,"Paid",IF(AND($J135&lt;&gt;"",TODAY()&gt;$J135),"Overdue",IF(N($G135)&gt;0,"Partial","Upcoming"))))</f>
        <v/>
      </c>
      <c r="L135" s="27">
        <f>IF(OR($F135="",$I135&lt;=0,$J135=""),"",IF(TODAY()&gt;$J135,TODAY()-$J135,""))</f>
        <v/>
      </c>
      <c r="M135" s="22" t="n"/>
    </row>
    <row r="136">
      <c r="B136" s="22" t="n"/>
      <c r="C136" s="22" t="n"/>
      <c r="D136" s="22" t="n"/>
      <c r="E136" s="21" t="n"/>
      <c r="F136" s="23" t="n"/>
      <c r="G136" s="23" t="n"/>
      <c r="H136" s="21" t="n"/>
      <c r="I136" s="18">
        <f>IF($F136="","",$F136-N($G136))</f>
        <v/>
      </c>
      <c r="J136" s="21" t="n"/>
      <c r="K136">
        <f>IF($F136="","",IF($I136&lt;=0,"Paid",IF(AND($J136&lt;&gt;"",TODAY()&gt;$J136),"Overdue",IF(N($G136)&gt;0,"Partial","Upcoming"))))</f>
        <v/>
      </c>
      <c r="L136" s="27">
        <f>IF(OR($F136="",$I136&lt;=0,$J136=""),"",IF(TODAY()&gt;$J136,TODAY()-$J136,""))</f>
        <v/>
      </c>
      <c r="M136" s="22" t="n"/>
    </row>
    <row r="137">
      <c r="B137" s="22" t="n"/>
      <c r="C137" s="22" t="n"/>
      <c r="D137" s="22" t="n"/>
      <c r="E137" s="21" t="n"/>
      <c r="F137" s="23" t="n"/>
      <c r="G137" s="23" t="n"/>
      <c r="H137" s="21" t="n"/>
      <c r="I137" s="18">
        <f>IF($F137="","",$F137-N($G137))</f>
        <v/>
      </c>
      <c r="J137" s="21" t="n"/>
      <c r="K137">
        <f>IF($F137="","",IF($I137&lt;=0,"Paid",IF(AND($J137&lt;&gt;"",TODAY()&gt;$J137),"Overdue",IF(N($G137)&gt;0,"Partial","Upcoming"))))</f>
        <v/>
      </c>
      <c r="L137" s="27">
        <f>IF(OR($F137="",$I137&lt;=0,$J137=""),"",IF(TODAY()&gt;$J137,TODAY()-$J137,""))</f>
        <v/>
      </c>
      <c r="M137" s="22" t="n"/>
    </row>
    <row r="138">
      <c r="B138" s="22" t="n"/>
      <c r="C138" s="22" t="n"/>
      <c r="D138" s="22" t="n"/>
      <c r="E138" s="21" t="n"/>
      <c r="F138" s="23" t="n"/>
      <c r="G138" s="23" t="n"/>
      <c r="H138" s="21" t="n"/>
      <c r="I138" s="18">
        <f>IF($F138="","",$F138-N($G138))</f>
        <v/>
      </c>
      <c r="J138" s="21" t="n"/>
      <c r="K138">
        <f>IF($F138="","",IF($I138&lt;=0,"Paid",IF(AND($J138&lt;&gt;"",TODAY()&gt;$J138),"Overdue",IF(N($G138)&gt;0,"Partial","Upcoming"))))</f>
        <v/>
      </c>
      <c r="L138" s="27">
        <f>IF(OR($F138="",$I138&lt;=0,$J138=""),"",IF(TODAY()&gt;$J138,TODAY()-$J138,""))</f>
        <v/>
      </c>
      <c r="M138" s="22" t="n"/>
    </row>
    <row r="139">
      <c r="B139" s="22" t="n"/>
      <c r="C139" s="22" t="n"/>
      <c r="D139" s="22" t="n"/>
      <c r="E139" s="21" t="n"/>
      <c r="F139" s="23" t="n"/>
      <c r="G139" s="23" t="n"/>
      <c r="H139" s="21" t="n"/>
      <c r="I139" s="18">
        <f>IF($F139="","",$F139-N($G139))</f>
        <v/>
      </c>
      <c r="J139" s="21" t="n"/>
      <c r="K139">
        <f>IF($F139="","",IF($I139&lt;=0,"Paid",IF(AND($J139&lt;&gt;"",TODAY()&gt;$J139),"Overdue",IF(N($G139)&gt;0,"Partial","Upcoming"))))</f>
        <v/>
      </c>
      <c r="L139" s="27">
        <f>IF(OR($F139="",$I139&lt;=0,$J139=""),"",IF(TODAY()&gt;$J139,TODAY()-$J139,""))</f>
        <v/>
      </c>
      <c r="M139" s="22" t="n"/>
    </row>
    <row r="140">
      <c r="B140" s="22" t="n"/>
      <c r="C140" s="22" t="n"/>
      <c r="D140" s="22" t="n"/>
      <c r="E140" s="21" t="n"/>
      <c r="F140" s="23" t="n"/>
      <c r="G140" s="23" t="n"/>
      <c r="H140" s="21" t="n"/>
      <c r="I140" s="18">
        <f>IF($F140="","",$F140-N($G140))</f>
        <v/>
      </c>
      <c r="J140" s="21" t="n"/>
      <c r="K140">
        <f>IF($F140="","",IF($I140&lt;=0,"Paid",IF(AND($J140&lt;&gt;"",TODAY()&gt;$J140),"Overdue",IF(N($G140)&gt;0,"Partial","Upcoming"))))</f>
        <v/>
      </c>
      <c r="L140" s="27">
        <f>IF(OR($F140="",$I140&lt;=0,$J140=""),"",IF(TODAY()&gt;$J140,TODAY()-$J140,""))</f>
        <v/>
      </c>
      <c r="M140" s="22" t="n"/>
    </row>
    <row r="141">
      <c r="B141" s="22" t="n"/>
      <c r="C141" s="22" t="n"/>
      <c r="D141" s="22" t="n"/>
      <c r="E141" s="21" t="n"/>
      <c r="F141" s="23" t="n"/>
      <c r="G141" s="23" t="n"/>
      <c r="H141" s="21" t="n"/>
      <c r="I141" s="18">
        <f>IF($F141="","",$F141-N($G141))</f>
        <v/>
      </c>
      <c r="J141" s="21" t="n"/>
      <c r="K141">
        <f>IF($F141="","",IF($I141&lt;=0,"Paid",IF(AND($J141&lt;&gt;"",TODAY()&gt;$J141),"Overdue",IF(N($G141)&gt;0,"Partial","Upcoming"))))</f>
        <v/>
      </c>
      <c r="L141" s="27">
        <f>IF(OR($F141="",$I141&lt;=0,$J141=""),"",IF(TODAY()&gt;$J141,TODAY()-$J141,""))</f>
        <v/>
      </c>
      <c r="M141" s="22" t="n"/>
    </row>
    <row r="142">
      <c r="B142" s="22" t="n"/>
      <c r="C142" s="22" t="n"/>
      <c r="D142" s="22" t="n"/>
      <c r="E142" s="21" t="n"/>
      <c r="F142" s="23" t="n"/>
      <c r="G142" s="23" t="n"/>
      <c r="H142" s="21" t="n"/>
      <c r="I142" s="18">
        <f>IF($F142="","",$F142-N($G142))</f>
        <v/>
      </c>
      <c r="J142" s="21" t="n"/>
      <c r="K142">
        <f>IF($F142="","",IF($I142&lt;=0,"Paid",IF(AND($J142&lt;&gt;"",TODAY()&gt;$J142),"Overdue",IF(N($G142)&gt;0,"Partial","Upcoming"))))</f>
        <v/>
      </c>
      <c r="L142" s="27">
        <f>IF(OR($F142="",$I142&lt;=0,$J142=""),"",IF(TODAY()&gt;$J142,TODAY()-$J142,""))</f>
        <v/>
      </c>
      <c r="M142" s="22" t="n"/>
    </row>
    <row r="143">
      <c r="B143" s="22" t="n"/>
      <c r="C143" s="22" t="n"/>
      <c r="D143" s="22" t="n"/>
      <c r="E143" s="21" t="n"/>
      <c r="F143" s="23" t="n"/>
      <c r="G143" s="23" t="n"/>
      <c r="H143" s="21" t="n"/>
      <c r="I143" s="18">
        <f>IF($F143="","",$F143-N($G143))</f>
        <v/>
      </c>
      <c r="J143" s="21" t="n"/>
      <c r="K143">
        <f>IF($F143="","",IF($I143&lt;=0,"Paid",IF(AND($J143&lt;&gt;"",TODAY()&gt;$J143),"Overdue",IF(N($G143)&gt;0,"Partial","Upcoming"))))</f>
        <v/>
      </c>
      <c r="L143" s="27">
        <f>IF(OR($F143="",$I143&lt;=0,$J143=""),"",IF(TODAY()&gt;$J143,TODAY()-$J143,""))</f>
        <v/>
      </c>
      <c r="M143" s="22" t="n"/>
    </row>
    <row r="144">
      <c r="B144" s="22" t="n"/>
      <c r="C144" s="22" t="n"/>
      <c r="D144" s="22" t="n"/>
      <c r="E144" s="21" t="n"/>
      <c r="F144" s="23" t="n"/>
      <c r="G144" s="23" t="n"/>
      <c r="H144" s="21" t="n"/>
      <c r="I144" s="18">
        <f>IF($F144="","",$F144-N($G144))</f>
        <v/>
      </c>
      <c r="J144" s="21" t="n"/>
      <c r="K144">
        <f>IF($F144="","",IF($I144&lt;=0,"Paid",IF(AND($J144&lt;&gt;"",TODAY()&gt;$J144),"Overdue",IF(N($G144)&gt;0,"Partial","Upcoming"))))</f>
        <v/>
      </c>
      <c r="L144" s="27">
        <f>IF(OR($F144="",$I144&lt;=0,$J144=""),"",IF(TODAY()&gt;$J144,TODAY()-$J144,""))</f>
        <v/>
      </c>
      <c r="M144" s="22" t="n"/>
    </row>
    <row r="145">
      <c r="B145" s="22" t="n"/>
      <c r="C145" s="22" t="n"/>
      <c r="D145" s="22" t="n"/>
      <c r="E145" s="21" t="n"/>
      <c r="F145" s="23" t="n"/>
      <c r="G145" s="23" t="n"/>
      <c r="H145" s="21" t="n"/>
      <c r="I145" s="18">
        <f>IF($F145="","",$F145-N($G145))</f>
        <v/>
      </c>
      <c r="J145" s="21" t="n"/>
      <c r="K145">
        <f>IF($F145="","",IF($I145&lt;=0,"Paid",IF(AND($J145&lt;&gt;"",TODAY()&gt;$J145),"Overdue",IF(N($G145)&gt;0,"Partial","Upcoming"))))</f>
        <v/>
      </c>
      <c r="L145" s="27">
        <f>IF(OR($F145="",$I145&lt;=0,$J145=""),"",IF(TODAY()&gt;$J145,TODAY()-$J145,""))</f>
        <v/>
      </c>
      <c r="M145" s="22" t="n"/>
    </row>
    <row r="146">
      <c r="B146" s="22" t="n"/>
      <c r="C146" s="22" t="n"/>
      <c r="D146" s="22" t="n"/>
      <c r="E146" s="21" t="n"/>
      <c r="F146" s="23" t="n"/>
      <c r="G146" s="23" t="n"/>
      <c r="H146" s="21" t="n"/>
      <c r="I146" s="18">
        <f>IF($F146="","",$F146-N($G146))</f>
        <v/>
      </c>
      <c r="J146" s="21" t="n"/>
      <c r="K146">
        <f>IF($F146="","",IF($I146&lt;=0,"Paid",IF(AND($J146&lt;&gt;"",TODAY()&gt;$J146),"Overdue",IF(N($G146)&gt;0,"Partial","Upcoming"))))</f>
        <v/>
      </c>
      <c r="L146" s="27">
        <f>IF(OR($F146="",$I146&lt;=0,$J146=""),"",IF(TODAY()&gt;$J146,TODAY()-$J146,""))</f>
        <v/>
      </c>
      <c r="M146" s="22" t="n"/>
    </row>
    <row r="147">
      <c r="B147" s="22" t="n"/>
      <c r="C147" s="22" t="n"/>
      <c r="D147" s="22" t="n"/>
      <c r="E147" s="21" t="n"/>
      <c r="F147" s="23" t="n"/>
      <c r="G147" s="23" t="n"/>
      <c r="H147" s="21" t="n"/>
      <c r="I147" s="18">
        <f>IF($F147="","",$F147-N($G147))</f>
        <v/>
      </c>
      <c r="J147" s="21" t="n"/>
      <c r="K147">
        <f>IF($F147="","",IF($I147&lt;=0,"Paid",IF(AND($J147&lt;&gt;"",TODAY()&gt;$J147),"Overdue",IF(N($G147)&gt;0,"Partial","Upcoming"))))</f>
        <v/>
      </c>
      <c r="L147" s="27">
        <f>IF(OR($F147="",$I147&lt;=0,$J147=""),"",IF(TODAY()&gt;$J147,TODAY()-$J147,""))</f>
        <v/>
      </c>
      <c r="M147" s="22" t="n"/>
    </row>
    <row r="148">
      <c r="B148" s="22" t="n"/>
      <c r="C148" s="22" t="n"/>
      <c r="D148" s="22" t="n"/>
      <c r="E148" s="21" t="n"/>
      <c r="F148" s="23" t="n"/>
      <c r="G148" s="23" t="n"/>
      <c r="H148" s="21" t="n"/>
      <c r="I148" s="18">
        <f>IF($F148="","",$F148-N($G148))</f>
        <v/>
      </c>
      <c r="J148" s="21" t="n"/>
      <c r="K148">
        <f>IF($F148="","",IF($I148&lt;=0,"Paid",IF(AND($J148&lt;&gt;"",TODAY()&gt;$J148),"Overdue",IF(N($G148)&gt;0,"Partial","Upcoming"))))</f>
        <v/>
      </c>
      <c r="L148" s="27">
        <f>IF(OR($F148="",$I148&lt;=0,$J148=""),"",IF(TODAY()&gt;$J148,TODAY()-$J148,""))</f>
        <v/>
      </c>
      <c r="M148" s="22" t="n"/>
    </row>
    <row r="149">
      <c r="B149" s="22" t="n"/>
      <c r="C149" s="22" t="n"/>
      <c r="D149" s="22" t="n"/>
      <c r="E149" s="21" t="n"/>
      <c r="F149" s="23" t="n"/>
      <c r="G149" s="23" t="n"/>
      <c r="H149" s="21" t="n"/>
      <c r="I149" s="18">
        <f>IF($F149="","",$F149-N($G149))</f>
        <v/>
      </c>
      <c r="J149" s="21" t="n"/>
      <c r="K149">
        <f>IF($F149="","",IF($I149&lt;=0,"Paid",IF(AND($J149&lt;&gt;"",TODAY()&gt;$J149),"Overdue",IF(N($G149)&gt;0,"Partial","Upcoming"))))</f>
        <v/>
      </c>
      <c r="L149" s="27">
        <f>IF(OR($F149="",$I149&lt;=0,$J149=""),"",IF(TODAY()&gt;$J149,TODAY()-$J149,""))</f>
        <v/>
      </c>
      <c r="M149" s="22" t="n"/>
    </row>
    <row r="150">
      <c r="B150" s="22" t="n"/>
      <c r="C150" s="22" t="n"/>
      <c r="D150" s="22" t="n"/>
      <c r="E150" s="21" t="n"/>
      <c r="F150" s="23" t="n"/>
      <c r="G150" s="23" t="n"/>
      <c r="H150" s="21" t="n"/>
      <c r="I150" s="18">
        <f>IF($F150="","",$F150-N($G150))</f>
        <v/>
      </c>
      <c r="J150" s="21" t="n"/>
      <c r="K150">
        <f>IF($F150="","",IF($I150&lt;=0,"Paid",IF(AND($J150&lt;&gt;"",TODAY()&gt;$J150),"Overdue",IF(N($G150)&gt;0,"Partial","Upcoming"))))</f>
        <v/>
      </c>
      <c r="L150" s="27">
        <f>IF(OR($F150="",$I150&lt;=0,$J150=""),"",IF(TODAY()&gt;$J150,TODAY()-$J150,""))</f>
        <v/>
      </c>
      <c r="M150" s="22" t="n"/>
    </row>
    <row r="151">
      <c r="B151" s="22" t="n"/>
      <c r="C151" s="22" t="n"/>
      <c r="D151" s="22" t="n"/>
      <c r="E151" s="21" t="n"/>
      <c r="F151" s="23" t="n"/>
      <c r="G151" s="23" t="n"/>
      <c r="H151" s="21" t="n"/>
      <c r="I151" s="18">
        <f>IF($F151="","",$F151-N($G151))</f>
        <v/>
      </c>
      <c r="J151" s="21" t="n"/>
      <c r="K151">
        <f>IF($F151="","",IF($I151&lt;=0,"Paid",IF(AND($J151&lt;&gt;"",TODAY()&gt;$J151),"Overdue",IF(N($G151)&gt;0,"Partial","Upcoming"))))</f>
        <v/>
      </c>
      <c r="L151" s="27">
        <f>IF(OR($F151="",$I151&lt;=0,$J151=""),"",IF(TODAY()&gt;$J151,TODAY()-$J151,""))</f>
        <v/>
      </c>
      <c r="M151" s="22" t="n"/>
    </row>
    <row r="152">
      <c r="B152" s="22" t="n"/>
      <c r="C152" s="22" t="n"/>
      <c r="D152" s="22" t="n"/>
      <c r="E152" s="21" t="n"/>
      <c r="F152" s="23" t="n"/>
      <c r="G152" s="23" t="n"/>
      <c r="H152" s="21" t="n"/>
      <c r="I152" s="18">
        <f>IF($F152="","",$F152-N($G152))</f>
        <v/>
      </c>
      <c r="J152" s="21" t="n"/>
      <c r="K152">
        <f>IF($F152="","",IF($I152&lt;=0,"Paid",IF(AND($J152&lt;&gt;"",TODAY()&gt;$J152),"Overdue",IF(N($G152)&gt;0,"Partial","Upcoming"))))</f>
        <v/>
      </c>
      <c r="L152" s="27">
        <f>IF(OR($F152="",$I152&lt;=0,$J152=""),"",IF(TODAY()&gt;$J152,TODAY()-$J152,""))</f>
        <v/>
      </c>
      <c r="M152" s="22" t="n"/>
    </row>
    <row r="153">
      <c r="B153" s="22" t="n"/>
      <c r="C153" s="22" t="n"/>
      <c r="D153" s="22" t="n"/>
      <c r="E153" s="21" t="n"/>
      <c r="F153" s="23" t="n"/>
      <c r="G153" s="23" t="n"/>
      <c r="H153" s="21" t="n"/>
      <c r="I153" s="18">
        <f>IF($F153="","",$F153-N($G153))</f>
        <v/>
      </c>
      <c r="J153" s="21" t="n"/>
      <c r="K153">
        <f>IF($F153="","",IF($I153&lt;=0,"Paid",IF(AND($J153&lt;&gt;"",TODAY()&gt;$J153),"Overdue",IF(N($G153)&gt;0,"Partial","Upcoming"))))</f>
        <v/>
      </c>
      <c r="L153" s="27">
        <f>IF(OR($F153="",$I153&lt;=0,$J153=""),"",IF(TODAY()&gt;$J153,TODAY()-$J153,""))</f>
        <v/>
      </c>
      <c r="M153" s="22" t="n"/>
    </row>
    <row r="154">
      <c r="B154" s="22" t="n"/>
      <c r="C154" s="22" t="n"/>
      <c r="D154" s="22" t="n"/>
      <c r="E154" s="21" t="n"/>
      <c r="F154" s="23" t="n"/>
      <c r="G154" s="23" t="n"/>
      <c r="H154" s="21" t="n"/>
      <c r="I154" s="18">
        <f>IF($F154="","",$F154-N($G154))</f>
        <v/>
      </c>
      <c r="J154" s="21" t="n"/>
      <c r="K154">
        <f>IF($F154="","",IF($I154&lt;=0,"Paid",IF(AND($J154&lt;&gt;"",TODAY()&gt;$J154),"Overdue",IF(N($G154)&gt;0,"Partial","Upcoming"))))</f>
        <v/>
      </c>
      <c r="L154" s="27">
        <f>IF(OR($F154="",$I154&lt;=0,$J154=""),"",IF(TODAY()&gt;$J154,TODAY()-$J154,""))</f>
        <v/>
      </c>
      <c r="M154" s="22" t="n"/>
    </row>
    <row r="155">
      <c r="B155" s="22" t="n"/>
      <c r="C155" s="22" t="n"/>
      <c r="D155" s="22" t="n"/>
      <c r="E155" s="21" t="n"/>
      <c r="F155" s="23" t="n"/>
      <c r="G155" s="23" t="n"/>
      <c r="H155" s="21" t="n"/>
      <c r="I155" s="18">
        <f>IF($F155="","",$F155-N($G155))</f>
        <v/>
      </c>
      <c r="J155" s="21" t="n"/>
      <c r="K155">
        <f>IF($F155="","",IF($I155&lt;=0,"Paid",IF(AND($J155&lt;&gt;"",TODAY()&gt;$J155),"Overdue",IF(N($G155)&gt;0,"Partial","Upcoming"))))</f>
        <v/>
      </c>
      <c r="L155" s="27">
        <f>IF(OR($F155="",$I155&lt;=0,$J155=""),"",IF(TODAY()&gt;$J155,TODAY()-$J155,""))</f>
        <v/>
      </c>
      <c r="M155" s="22" t="n"/>
    </row>
    <row r="156">
      <c r="B156" s="22" t="n"/>
      <c r="C156" s="22" t="n"/>
      <c r="D156" s="22" t="n"/>
      <c r="E156" s="21" t="n"/>
      <c r="F156" s="23" t="n"/>
      <c r="G156" s="23" t="n"/>
      <c r="H156" s="21" t="n"/>
      <c r="I156" s="18">
        <f>IF($F156="","",$F156-N($G156))</f>
        <v/>
      </c>
      <c r="J156" s="21" t="n"/>
      <c r="K156">
        <f>IF($F156="","",IF($I156&lt;=0,"Paid",IF(AND($J156&lt;&gt;"",TODAY()&gt;$J156),"Overdue",IF(N($G156)&gt;0,"Partial","Upcoming"))))</f>
        <v/>
      </c>
      <c r="L156" s="27">
        <f>IF(OR($F156="",$I156&lt;=0,$J156=""),"",IF(TODAY()&gt;$J156,TODAY()-$J156,""))</f>
        <v/>
      </c>
      <c r="M156" s="22" t="n"/>
    </row>
    <row r="157">
      <c r="B157" s="22" t="n"/>
      <c r="C157" s="22" t="n"/>
      <c r="D157" s="22" t="n"/>
      <c r="E157" s="21" t="n"/>
      <c r="F157" s="23" t="n"/>
      <c r="G157" s="23" t="n"/>
      <c r="H157" s="21" t="n"/>
      <c r="I157" s="18">
        <f>IF($F157="","",$F157-N($G157))</f>
        <v/>
      </c>
      <c r="J157" s="21" t="n"/>
      <c r="K157">
        <f>IF($F157="","",IF($I157&lt;=0,"Paid",IF(AND($J157&lt;&gt;"",TODAY()&gt;$J157),"Overdue",IF(N($G157)&gt;0,"Partial","Upcoming"))))</f>
        <v/>
      </c>
      <c r="L157" s="27">
        <f>IF(OR($F157="",$I157&lt;=0,$J157=""),"",IF(TODAY()&gt;$J157,TODAY()-$J157,""))</f>
        <v/>
      </c>
      <c r="M157" s="22" t="n"/>
    </row>
    <row r="158">
      <c r="B158" s="22" t="n"/>
      <c r="C158" s="22" t="n"/>
      <c r="D158" s="22" t="n"/>
      <c r="E158" s="21" t="n"/>
      <c r="F158" s="23" t="n"/>
      <c r="G158" s="23" t="n"/>
      <c r="H158" s="21" t="n"/>
      <c r="I158" s="18">
        <f>IF($F158="","",$F158-N($G158))</f>
        <v/>
      </c>
      <c r="J158" s="21" t="n"/>
      <c r="K158">
        <f>IF($F158="","",IF($I158&lt;=0,"Paid",IF(AND($J158&lt;&gt;"",TODAY()&gt;$J158),"Overdue",IF(N($G158)&gt;0,"Partial","Upcoming"))))</f>
        <v/>
      </c>
      <c r="L158" s="27">
        <f>IF(OR($F158="",$I158&lt;=0,$J158=""),"",IF(TODAY()&gt;$J158,TODAY()-$J158,""))</f>
        <v/>
      </c>
      <c r="M158" s="22" t="n"/>
    </row>
    <row r="159">
      <c r="B159" s="22" t="n"/>
      <c r="C159" s="22" t="n"/>
      <c r="D159" s="22" t="n"/>
      <c r="E159" s="21" t="n"/>
      <c r="F159" s="23" t="n"/>
      <c r="G159" s="23" t="n"/>
      <c r="H159" s="21" t="n"/>
      <c r="I159" s="18">
        <f>IF($F159="","",$F159-N($G159))</f>
        <v/>
      </c>
      <c r="J159" s="21" t="n"/>
      <c r="K159">
        <f>IF($F159="","",IF($I159&lt;=0,"Paid",IF(AND($J159&lt;&gt;"",TODAY()&gt;$J159),"Overdue",IF(N($G159)&gt;0,"Partial","Upcoming"))))</f>
        <v/>
      </c>
      <c r="L159" s="27">
        <f>IF(OR($F159="",$I159&lt;=0,$J159=""),"",IF(TODAY()&gt;$J159,TODAY()-$J159,""))</f>
        <v/>
      </c>
      <c r="M159" s="22" t="n"/>
    </row>
    <row r="160">
      <c r="B160" s="22" t="n"/>
      <c r="C160" s="22" t="n"/>
      <c r="D160" s="22" t="n"/>
      <c r="E160" s="21" t="n"/>
      <c r="F160" s="23" t="n"/>
      <c r="G160" s="23" t="n"/>
      <c r="H160" s="21" t="n"/>
      <c r="I160" s="18">
        <f>IF($F160="","",$F160-N($G160))</f>
        <v/>
      </c>
      <c r="J160" s="21" t="n"/>
      <c r="K160">
        <f>IF($F160="","",IF($I160&lt;=0,"Paid",IF(AND($J160&lt;&gt;"",TODAY()&gt;$J160),"Overdue",IF(N($G160)&gt;0,"Partial","Upcoming"))))</f>
        <v/>
      </c>
      <c r="L160" s="27">
        <f>IF(OR($F160="",$I160&lt;=0,$J160=""),"",IF(TODAY()&gt;$J160,TODAY()-$J160,""))</f>
        <v/>
      </c>
      <c r="M160" s="22" t="n"/>
    </row>
    <row r="161">
      <c r="B161" s="22" t="n"/>
      <c r="C161" s="22" t="n"/>
      <c r="D161" s="22" t="n"/>
      <c r="E161" s="21" t="n"/>
      <c r="F161" s="23" t="n"/>
      <c r="G161" s="23" t="n"/>
      <c r="H161" s="21" t="n"/>
      <c r="I161" s="18">
        <f>IF($F161="","",$F161-N($G161))</f>
        <v/>
      </c>
      <c r="J161" s="21" t="n"/>
      <c r="K161">
        <f>IF($F161="","",IF($I161&lt;=0,"Paid",IF(AND($J161&lt;&gt;"",TODAY()&gt;$J161),"Overdue",IF(N($G161)&gt;0,"Partial","Upcoming"))))</f>
        <v/>
      </c>
      <c r="L161" s="27">
        <f>IF(OR($F161="",$I161&lt;=0,$J161=""),"",IF(TODAY()&gt;$J161,TODAY()-$J161,""))</f>
        <v/>
      </c>
      <c r="M161" s="22" t="n"/>
    </row>
    <row r="162">
      <c r="B162" s="22" t="n"/>
      <c r="C162" s="22" t="n"/>
      <c r="D162" s="22" t="n"/>
      <c r="E162" s="21" t="n"/>
      <c r="F162" s="23" t="n"/>
      <c r="G162" s="23" t="n"/>
      <c r="H162" s="21" t="n"/>
      <c r="I162" s="18">
        <f>IF($F162="","",$F162-N($G162))</f>
        <v/>
      </c>
      <c r="J162" s="21" t="n"/>
      <c r="K162">
        <f>IF($F162="","",IF($I162&lt;=0,"Paid",IF(AND($J162&lt;&gt;"",TODAY()&gt;$J162),"Overdue",IF(N($G162)&gt;0,"Partial","Upcoming"))))</f>
        <v/>
      </c>
      <c r="L162" s="27">
        <f>IF(OR($F162="",$I162&lt;=0,$J162=""),"",IF(TODAY()&gt;$J162,TODAY()-$J162,""))</f>
        <v/>
      </c>
      <c r="M162" s="22" t="n"/>
    </row>
    <row r="163">
      <c r="B163" s="22" t="n"/>
      <c r="C163" s="22" t="n"/>
      <c r="D163" s="22" t="n"/>
      <c r="E163" s="21" t="n"/>
      <c r="F163" s="23" t="n"/>
      <c r="G163" s="23" t="n"/>
      <c r="H163" s="21" t="n"/>
      <c r="I163" s="18">
        <f>IF($F163="","",$F163-N($G163))</f>
        <v/>
      </c>
      <c r="J163" s="21" t="n"/>
      <c r="K163">
        <f>IF($F163="","",IF($I163&lt;=0,"Paid",IF(AND($J163&lt;&gt;"",TODAY()&gt;$J163),"Overdue",IF(N($G163)&gt;0,"Partial","Upcoming"))))</f>
        <v/>
      </c>
      <c r="L163" s="27">
        <f>IF(OR($F163="",$I163&lt;=0,$J163=""),"",IF(TODAY()&gt;$J163,TODAY()-$J163,""))</f>
        <v/>
      </c>
      <c r="M163" s="22" t="n"/>
    </row>
    <row r="164">
      <c r="B164" s="22" t="n"/>
      <c r="C164" s="22" t="n"/>
      <c r="D164" s="22" t="n"/>
      <c r="E164" s="21" t="n"/>
      <c r="F164" s="23" t="n"/>
      <c r="G164" s="23" t="n"/>
      <c r="H164" s="21" t="n"/>
      <c r="I164" s="18">
        <f>IF($F164="","",$F164-N($G164))</f>
        <v/>
      </c>
      <c r="J164" s="21" t="n"/>
      <c r="K164">
        <f>IF($F164="","",IF($I164&lt;=0,"Paid",IF(AND($J164&lt;&gt;"",TODAY()&gt;$J164),"Overdue",IF(N($G164)&gt;0,"Partial","Upcoming"))))</f>
        <v/>
      </c>
      <c r="L164" s="27">
        <f>IF(OR($F164="",$I164&lt;=0,$J164=""),"",IF(TODAY()&gt;$J164,TODAY()-$J164,""))</f>
        <v/>
      </c>
      <c r="M164" s="22" t="n"/>
    </row>
    <row r="165">
      <c r="B165" s="22" t="n"/>
      <c r="C165" s="22" t="n"/>
      <c r="D165" s="22" t="n"/>
      <c r="E165" s="21" t="n"/>
      <c r="F165" s="23" t="n"/>
      <c r="G165" s="23" t="n"/>
      <c r="H165" s="21" t="n"/>
      <c r="I165" s="18">
        <f>IF($F165="","",$F165-N($G165))</f>
        <v/>
      </c>
      <c r="J165" s="21" t="n"/>
      <c r="K165">
        <f>IF($F165="","",IF($I165&lt;=0,"Paid",IF(AND($J165&lt;&gt;"",TODAY()&gt;$J165),"Overdue",IF(N($G165)&gt;0,"Partial","Upcoming"))))</f>
        <v/>
      </c>
      <c r="L165" s="27">
        <f>IF(OR($F165="",$I165&lt;=0,$J165=""),"",IF(TODAY()&gt;$J165,TODAY()-$J165,""))</f>
        <v/>
      </c>
      <c r="M165" s="22" t="n"/>
    </row>
    <row r="166">
      <c r="B166" s="22" t="n"/>
      <c r="C166" s="22" t="n"/>
      <c r="D166" s="22" t="n"/>
      <c r="E166" s="21" t="n"/>
      <c r="F166" s="23" t="n"/>
      <c r="G166" s="23" t="n"/>
      <c r="H166" s="21" t="n"/>
      <c r="I166" s="18">
        <f>IF($F166="","",$F166-N($G166))</f>
        <v/>
      </c>
      <c r="J166" s="21" t="n"/>
      <c r="K166">
        <f>IF($F166="","",IF($I166&lt;=0,"Paid",IF(AND($J166&lt;&gt;"",TODAY()&gt;$J166),"Overdue",IF(N($G166)&gt;0,"Partial","Upcoming"))))</f>
        <v/>
      </c>
      <c r="L166" s="27">
        <f>IF(OR($F166="",$I166&lt;=0,$J166=""),"",IF(TODAY()&gt;$J166,TODAY()-$J166,""))</f>
        <v/>
      </c>
      <c r="M166" s="22" t="n"/>
    </row>
    <row r="167">
      <c r="B167" s="22" t="n"/>
      <c r="C167" s="22" t="n"/>
      <c r="D167" s="22" t="n"/>
      <c r="E167" s="21" t="n"/>
      <c r="F167" s="23" t="n"/>
      <c r="G167" s="23" t="n"/>
      <c r="H167" s="21" t="n"/>
      <c r="I167" s="18">
        <f>IF($F167="","",$F167-N($G167))</f>
        <v/>
      </c>
      <c r="J167" s="21" t="n"/>
      <c r="K167">
        <f>IF($F167="","",IF($I167&lt;=0,"Paid",IF(AND($J167&lt;&gt;"",TODAY()&gt;$J167),"Overdue",IF(N($G167)&gt;0,"Partial","Upcoming"))))</f>
        <v/>
      </c>
      <c r="L167" s="27">
        <f>IF(OR($F167="",$I167&lt;=0,$J167=""),"",IF(TODAY()&gt;$J167,TODAY()-$J167,""))</f>
        <v/>
      </c>
      <c r="M167" s="22" t="n"/>
    </row>
    <row r="168">
      <c r="B168" s="22" t="n"/>
      <c r="C168" s="22" t="n"/>
      <c r="D168" s="22" t="n"/>
      <c r="E168" s="21" t="n"/>
      <c r="F168" s="23" t="n"/>
      <c r="G168" s="23" t="n"/>
      <c r="H168" s="21" t="n"/>
      <c r="I168" s="18">
        <f>IF($F168="","",$F168-N($G168))</f>
        <v/>
      </c>
      <c r="J168" s="21" t="n"/>
      <c r="K168">
        <f>IF($F168="","",IF($I168&lt;=0,"Paid",IF(AND($J168&lt;&gt;"",TODAY()&gt;$J168),"Overdue",IF(N($G168)&gt;0,"Partial","Upcoming"))))</f>
        <v/>
      </c>
      <c r="L168" s="27">
        <f>IF(OR($F168="",$I168&lt;=0,$J168=""),"",IF(TODAY()&gt;$J168,TODAY()-$J168,""))</f>
        <v/>
      </c>
      <c r="M168" s="22" t="n"/>
    </row>
    <row r="169">
      <c r="B169" s="22" t="n"/>
      <c r="C169" s="22" t="n"/>
      <c r="D169" s="22" t="n"/>
      <c r="E169" s="21" t="n"/>
      <c r="F169" s="23" t="n"/>
      <c r="G169" s="23" t="n"/>
      <c r="H169" s="21" t="n"/>
      <c r="I169" s="18">
        <f>IF($F169="","",$F169-N($G169))</f>
        <v/>
      </c>
      <c r="J169" s="21" t="n"/>
      <c r="K169">
        <f>IF($F169="","",IF($I169&lt;=0,"Paid",IF(AND($J169&lt;&gt;"",TODAY()&gt;$J169),"Overdue",IF(N($G169)&gt;0,"Partial","Upcoming"))))</f>
        <v/>
      </c>
      <c r="L169" s="27">
        <f>IF(OR($F169="",$I169&lt;=0,$J169=""),"",IF(TODAY()&gt;$J169,TODAY()-$J169,""))</f>
        <v/>
      </c>
      <c r="M169" s="22" t="n"/>
    </row>
    <row r="170">
      <c r="B170" s="22" t="n"/>
      <c r="C170" s="22" t="n"/>
      <c r="D170" s="22" t="n"/>
      <c r="E170" s="21" t="n"/>
      <c r="F170" s="23" t="n"/>
      <c r="G170" s="23" t="n"/>
      <c r="H170" s="21" t="n"/>
      <c r="I170" s="18">
        <f>IF($F170="","",$F170-N($G170))</f>
        <v/>
      </c>
      <c r="J170" s="21" t="n"/>
      <c r="K170">
        <f>IF($F170="","",IF($I170&lt;=0,"Paid",IF(AND($J170&lt;&gt;"",TODAY()&gt;$J170),"Overdue",IF(N($G170)&gt;0,"Partial","Upcoming"))))</f>
        <v/>
      </c>
      <c r="L170" s="27">
        <f>IF(OR($F170="",$I170&lt;=0,$J170=""),"",IF(TODAY()&gt;$J170,TODAY()-$J170,""))</f>
        <v/>
      </c>
      <c r="M170" s="22" t="n"/>
    </row>
    <row r="171">
      <c r="B171" s="22" t="n"/>
      <c r="C171" s="22" t="n"/>
      <c r="D171" s="22" t="n"/>
      <c r="E171" s="21" t="n"/>
      <c r="F171" s="23" t="n"/>
      <c r="G171" s="23" t="n"/>
      <c r="H171" s="21" t="n"/>
      <c r="I171" s="18">
        <f>IF($F171="","",$F171-N($G171))</f>
        <v/>
      </c>
      <c r="J171" s="21" t="n"/>
      <c r="K171">
        <f>IF($F171="","",IF($I171&lt;=0,"Paid",IF(AND($J171&lt;&gt;"",TODAY()&gt;$J171),"Overdue",IF(N($G171)&gt;0,"Partial","Upcoming"))))</f>
        <v/>
      </c>
      <c r="L171" s="27">
        <f>IF(OR($F171="",$I171&lt;=0,$J171=""),"",IF(TODAY()&gt;$J171,TODAY()-$J171,""))</f>
        <v/>
      </c>
      <c r="M171" s="22" t="n"/>
    </row>
    <row r="172">
      <c r="B172" s="22" t="n"/>
      <c r="C172" s="22" t="n"/>
      <c r="D172" s="22" t="n"/>
      <c r="E172" s="21" t="n"/>
      <c r="F172" s="23" t="n"/>
      <c r="G172" s="23" t="n"/>
      <c r="H172" s="21" t="n"/>
      <c r="I172" s="18">
        <f>IF($F172="","",$F172-N($G172))</f>
        <v/>
      </c>
      <c r="J172" s="21" t="n"/>
      <c r="K172">
        <f>IF($F172="","",IF($I172&lt;=0,"Paid",IF(AND($J172&lt;&gt;"",TODAY()&gt;$J172),"Overdue",IF(N($G172)&gt;0,"Partial","Upcoming"))))</f>
        <v/>
      </c>
      <c r="L172" s="27">
        <f>IF(OR($F172="",$I172&lt;=0,$J172=""),"",IF(TODAY()&gt;$J172,TODAY()-$J172,""))</f>
        <v/>
      </c>
      <c r="M172" s="22" t="n"/>
    </row>
    <row r="173">
      <c r="B173" s="22" t="n"/>
      <c r="C173" s="22" t="n"/>
      <c r="D173" s="22" t="n"/>
      <c r="E173" s="21" t="n"/>
      <c r="F173" s="23" t="n"/>
      <c r="G173" s="23" t="n"/>
      <c r="H173" s="21" t="n"/>
      <c r="I173" s="18">
        <f>IF($F173="","",$F173-N($G173))</f>
        <v/>
      </c>
      <c r="J173" s="21" t="n"/>
      <c r="K173">
        <f>IF($F173="","",IF($I173&lt;=0,"Paid",IF(AND($J173&lt;&gt;"",TODAY()&gt;$J173),"Overdue",IF(N($G173)&gt;0,"Partial","Upcoming"))))</f>
        <v/>
      </c>
      <c r="L173" s="27">
        <f>IF(OR($F173="",$I173&lt;=0,$J173=""),"",IF(TODAY()&gt;$J173,TODAY()-$J173,""))</f>
        <v/>
      </c>
      <c r="M173" s="22" t="n"/>
    </row>
    <row r="174">
      <c r="B174" s="22" t="n"/>
      <c r="C174" s="22" t="n"/>
      <c r="D174" s="22" t="n"/>
      <c r="E174" s="21" t="n"/>
      <c r="F174" s="23" t="n"/>
      <c r="G174" s="23" t="n"/>
      <c r="H174" s="21" t="n"/>
      <c r="I174" s="18">
        <f>IF($F174="","",$F174-N($G174))</f>
        <v/>
      </c>
      <c r="J174" s="21" t="n"/>
      <c r="K174">
        <f>IF($F174="","",IF($I174&lt;=0,"Paid",IF(AND($J174&lt;&gt;"",TODAY()&gt;$J174),"Overdue",IF(N($G174)&gt;0,"Partial","Upcoming"))))</f>
        <v/>
      </c>
      <c r="L174" s="27">
        <f>IF(OR($F174="",$I174&lt;=0,$J174=""),"",IF(TODAY()&gt;$J174,TODAY()-$J174,""))</f>
        <v/>
      </c>
      <c r="M174" s="22" t="n"/>
    </row>
    <row r="175">
      <c r="B175" s="22" t="n"/>
      <c r="C175" s="22" t="n"/>
      <c r="D175" s="22" t="n"/>
      <c r="E175" s="21" t="n"/>
      <c r="F175" s="23" t="n"/>
      <c r="G175" s="23" t="n"/>
      <c r="H175" s="21" t="n"/>
      <c r="I175" s="18">
        <f>IF($F175="","",$F175-N($G175))</f>
        <v/>
      </c>
      <c r="J175" s="21" t="n"/>
      <c r="K175">
        <f>IF($F175="","",IF($I175&lt;=0,"Paid",IF(AND($J175&lt;&gt;"",TODAY()&gt;$J175),"Overdue",IF(N($G175)&gt;0,"Partial","Upcoming"))))</f>
        <v/>
      </c>
      <c r="L175" s="27">
        <f>IF(OR($F175="",$I175&lt;=0,$J175=""),"",IF(TODAY()&gt;$J175,TODAY()-$J175,""))</f>
        <v/>
      </c>
      <c r="M175" s="22" t="n"/>
    </row>
    <row r="176">
      <c r="B176" s="22" t="n"/>
      <c r="C176" s="22" t="n"/>
      <c r="D176" s="22" t="n"/>
      <c r="E176" s="21" t="n"/>
      <c r="F176" s="23" t="n"/>
      <c r="G176" s="23" t="n"/>
      <c r="H176" s="21" t="n"/>
      <c r="I176" s="18">
        <f>IF($F176="","",$F176-N($G176))</f>
        <v/>
      </c>
      <c r="J176" s="21" t="n"/>
      <c r="K176">
        <f>IF($F176="","",IF($I176&lt;=0,"Paid",IF(AND($J176&lt;&gt;"",TODAY()&gt;$J176),"Overdue",IF(N($G176)&gt;0,"Partial","Upcoming"))))</f>
        <v/>
      </c>
      <c r="L176" s="27">
        <f>IF(OR($F176="",$I176&lt;=0,$J176=""),"",IF(TODAY()&gt;$J176,TODAY()-$J176,""))</f>
        <v/>
      </c>
      <c r="M176" s="22" t="n"/>
    </row>
    <row r="177">
      <c r="B177" s="22" t="n"/>
      <c r="C177" s="22" t="n"/>
      <c r="D177" s="22" t="n"/>
      <c r="E177" s="21" t="n"/>
      <c r="F177" s="23" t="n"/>
      <c r="G177" s="23" t="n"/>
      <c r="H177" s="21" t="n"/>
      <c r="I177" s="18">
        <f>IF($F177="","",$F177-N($G177))</f>
        <v/>
      </c>
      <c r="J177" s="21" t="n"/>
      <c r="K177">
        <f>IF($F177="","",IF($I177&lt;=0,"Paid",IF(AND($J177&lt;&gt;"",TODAY()&gt;$J177),"Overdue",IF(N($G177)&gt;0,"Partial","Upcoming"))))</f>
        <v/>
      </c>
      <c r="L177" s="27">
        <f>IF(OR($F177="",$I177&lt;=0,$J177=""),"",IF(TODAY()&gt;$J177,TODAY()-$J177,""))</f>
        <v/>
      </c>
      <c r="M177" s="22" t="n"/>
    </row>
    <row r="178">
      <c r="B178" s="22" t="n"/>
      <c r="C178" s="22" t="n"/>
      <c r="D178" s="22" t="n"/>
      <c r="E178" s="21" t="n"/>
      <c r="F178" s="23" t="n"/>
      <c r="G178" s="23" t="n"/>
      <c r="H178" s="21" t="n"/>
      <c r="I178" s="18">
        <f>IF($F178="","",$F178-N($G178))</f>
        <v/>
      </c>
      <c r="J178" s="21" t="n"/>
      <c r="K178">
        <f>IF($F178="","",IF($I178&lt;=0,"Paid",IF(AND($J178&lt;&gt;"",TODAY()&gt;$J178),"Overdue",IF(N($G178)&gt;0,"Partial","Upcoming"))))</f>
        <v/>
      </c>
      <c r="L178" s="27">
        <f>IF(OR($F178="",$I178&lt;=0,$J178=""),"",IF(TODAY()&gt;$J178,TODAY()-$J178,""))</f>
        <v/>
      </c>
      <c r="M178" s="22" t="n"/>
    </row>
    <row r="179">
      <c r="B179" s="22" t="n"/>
      <c r="C179" s="22" t="n"/>
      <c r="D179" s="22" t="n"/>
      <c r="E179" s="21" t="n"/>
      <c r="F179" s="23" t="n"/>
      <c r="G179" s="23" t="n"/>
      <c r="H179" s="21" t="n"/>
      <c r="I179" s="18">
        <f>IF($F179="","",$F179-N($G179))</f>
        <v/>
      </c>
      <c r="J179" s="21" t="n"/>
      <c r="K179">
        <f>IF($F179="","",IF($I179&lt;=0,"Paid",IF(AND($J179&lt;&gt;"",TODAY()&gt;$J179),"Overdue",IF(N($G179)&gt;0,"Partial","Upcoming"))))</f>
        <v/>
      </c>
      <c r="L179" s="27">
        <f>IF(OR($F179="",$I179&lt;=0,$J179=""),"",IF(TODAY()&gt;$J179,TODAY()-$J179,""))</f>
        <v/>
      </c>
      <c r="M179" s="22" t="n"/>
    </row>
    <row r="180">
      <c r="B180" s="22" t="n"/>
      <c r="C180" s="22" t="n"/>
      <c r="D180" s="22" t="n"/>
      <c r="E180" s="21" t="n"/>
      <c r="F180" s="23" t="n"/>
      <c r="G180" s="23" t="n"/>
      <c r="H180" s="21" t="n"/>
      <c r="I180" s="18">
        <f>IF($F180="","",$F180-N($G180))</f>
        <v/>
      </c>
      <c r="J180" s="21" t="n"/>
      <c r="K180">
        <f>IF($F180="","",IF($I180&lt;=0,"Paid",IF(AND($J180&lt;&gt;"",TODAY()&gt;$J180),"Overdue",IF(N($G180)&gt;0,"Partial","Upcoming"))))</f>
        <v/>
      </c>
      <c r="L180" s="27">
        <f>IF(OR($F180="",$I180&lt;=0,$J180=""),"",IF(TODAY()&gt;$J180,TODAY()-$J180,""))</f>
        <v/>
      </c>
      <c r="M180" s="22" t="n"/>
    </row>
    <row r="181">
      <c r="B181" s="22" t="n"/>
      <c r="C181" s="22" t="n"/>
      <c r="D181" s="22" t="n"/>
      <c r="E181" s="21" t="n"/>
      <c r="F181" s="23" t="n"/>
      <c r="G181" s="23" t="n"/>
      <c r="H181" s="21" t="n"/>
      <c r="I181" s="18">
        <f>IF($F181="","",$F181-N($G181))</f>
        <v/>
      </c>
      <c r="J181" s="21" t="n"/>
      <c r="K181">
        <f>IF($F181="","",IF($I181&lt;=0,"Paid",IF(AND($J181&lt;&gt;"",TODAY()&gt;$J181),"Overdue",IF(N($G181)&gt;0,"Partial","Upcoming"))))</f>
        <v/>
      </c>
      <c r="L181" s="27">
        <f>IF(OR($F181="",$I181&lt;=0,$J181=""),"",IF(TODAY()&gt;$J181,TODAY()-$J181,""))</f>
        <v/>
      </c>
      <c r="M181" s="22" t="n"/>
    </row>
    <row r="182">
      <c r="B182" s="22" t="n"/>
      <c r="C182" s="22" t="n"/>
      <c r="D182" s="22" t="n"/>
      <c r="E182" s="21" t="n"/>
      <c r="F182" s="23" t="n"/>
      <c r="G182" s="23" t="n"/>
      <c r="H182" s="21" t="n"/>
      <c r="I182" s="18">
        <f>IF($F182="","",$F182-N($G182))</f>
        <v/>
      </c>
      <c r="J182" s="21" t="n"/>
      <c r="K182">
        <f>IF($F182="","",IF($I182&lt;=0,"Paid",IF(AND($J182&lt;&gt;"",TODAY()&gt;$J182),"Overdue",IF(N($G182)&gt;0,"Partial","Upcoming"))))</f>
        <v/>
      </c>
      <c r="L182" s="27">
        <f>IF(OR($F182="",$I182&lt;=0,$J182=""),"",IF(TODAY()&gt;$J182,TODAY()-$J182,""))</f>
        <v/>
      </c>
      <c r="M182" s="22" t="n"/>
    </row>
    <row r="183">
      <c r="B183" s="22" t="n"/>
      <c r="C183" s="22" t="n"/>
      <c r="D183" s="22" t="n"/>
      <c r="E183" s="21" t="n"/>
      <c r="F183" s="23" t="n"/>
      <c r="G183" s="23" t="n"/>
      <c r="H183" s="21" t="n"/>
      <c r="I183" s="18">
        <f>IF($F183="","",$F183-N($G183))</f>
        <v/>
      </c>
      <c r="J183" s="21" t="n"/>
      <c r="K183">
        <f>IF($F183="","",IF($I183&lt;=0,"Paid",IF(AND($J183&lt;&gt;"",TODAY()&gt;$J183),"Overdue",IF(N($G183)&gt;0,"Partial","Upcoming"))))</f>
        <v/>
      </c>
      <c r="L183" s="27">
        <f>IF(OR($F183="",$I183&lt;=0,$J183=""),"",IF(TODAY()&gt;$J183,TODAY()-$J183,""))</f>
        <v/>
      </c>
      <c r="M183" s="22" t="n"/>
    </row>
    <row r="184">
      <c r="B184" s="22" t="n"/>
      <c r="C184" s="22" t="n"/>
      <c r="D184" s="22" t="n"/>
      <c r="E184" s="21" t="n"/>
      <c r="F184" s="23" t="n"/>
      <c r="G184" s="23" t="n"/>
      <c r="H184" s="21" t="n"/>
      <c r="I184" s="18">
        <f>IF($F184="","",$F184-N($G184))</f>
        <v/>
      </c>
      <c r="J184" s="21" t="n"/>
      <c r="K184">
        <f>IF($F184="","",IF($I184&lt;=0,"Paid",IF(AND($J184&lt;&gt;"",TODAY()&gt;$J184),"Overdue",IF(N($G184)&gt;0,"Partial","Upcoming"))))</f>
        <v/>
      </c>
      <c r="L184" s="27">
        <f>IF(OR($F184="",$I184&lt;=0,$J184=""),"",IF(TODAY()&gt;$J184,TODAY()-$J184,""))</f>
        <v/>
      </c>
      <c r="M184" s="22" t="n"/>
    </row>
    <row r="185">
      <c r="B185" s="22" t="n"/>
      <c r="C185" s="22" t="n"/>
      <c r="D185" s="22" t="n"/>
      <c r="E185" s="21" t="n"/>
      <c r="F185" s="23" t="n"/>
      <c r="G185" s="23" t="n"/>
      <c r="H185" s="21" t="n"/>
      <c r="I185" s="18">
        <f>IF($F185="","",$F185-N($G185))</f>
        <v/>
      </c>
      <c r="J185" s="21" t="n"/>
      <c r="K185">
        <f>IF($F185="","",IF($I185&lt;=0,"Paid",IF(AND($J185&lt;&gt;"",TODAY()&gt;$J185),"Overdue",IF(N($G185)&gt;0,"Partial","Upcoming"))))</f>
        <v/>
      </c>
      <c r="L185" s="27">
        <f>IF(OR($F185="",$I185&lt;=0,$J185=""),"",IF(TODAY()&gt;$J185,TODAY()-$J185,""))</f>
        <v/>
      </c>
      <c r="M185" s="22" t="n"/>
    </row>
    <row r="186">
      <c r="B186" s="22" t="n"/>
      <c r="C186" s="22" t="n"/>
      <c r="D186" s="22" t="n"/>
      <c r="E186" s="21" t="n"/>
      <c r="F186" s="23" t="n"/>
      <c r="G186" s="23" t="n"/>
      <c r="H186" s="21" t="n"/>
      <c r="I186" s="18">
        <f>IF($F186="","",$F186-N($G186))</f>
        <v/>
      </c>
      <c r="J186" s="21" t="n"/>
      <c r="K186">
        <f>IF($F186="","",IF($I186&lt;=0,"Paid",IF(AND($J186&lt;&gt;"",TODAY()&gt;$J186),"Overdue",IF(N($G186)&gt;0,"Partial","Upcoming"))))</f>
        <v/>
      </c>
      <c r="L186" s="27">
        <f>IF(OR($F186="",$I186&lt;=0,$J186=""),"",IF(TODAY()&gt;$J186,TODAY()-$J186,""))</f>
        <v/>
      </c>
      <c r="M186" s="22" t="n"/>
    </row>
    <row r="187">
      <c r="B187" s="22" t="n"/>
      <c r="C187" s="22" t="n"/>
      <c r="D187" s="22" t="n"/>
      <c r="E187" s="21" t="n"/>
      <c r="F187" s="23" t="n"/>
      <c r="G187" s="23" t="n"/>
      <c r="H187" s="21" t="n"/>
      <c r="I187" s="18">
        <f>IF($F187="","",$F187-N($G187))</f>
        <v/>
      </c>
      <c r="J187" s="21" t="n"/>
      <c r="K187">
        <f>IF($F187="","",IF($I187&lt;=0,"Paid",IF(AND($J187&lt;&gt;"",TODAY()&gt;$J187),"Overdue",IF(N($G187)&gt;0,"Partial","Upcoming"))))</f>
        <v/>
      </c>
      <c r="L187" s="27">
        <f>IF(OR($F187="",$I187&lt;=0,$J187=""),"",IF(TODAY()&gt;$J187,TODAY()-$J187,""))</f>
        <v/>
      </c>
      <c r="M187" s="22" t="n"/>
    </row>
    <row r="188">
      <c r="B188" s="22" t="n"/>
      <c r="C188" s="22" t="n"/>
      <c r="D188" s="22" t="n"/>
      <c r="E188" s="21" t="n"/>
      <c r="F188" s="23" t="n"/>
      <c r="G188" s="23" t="n"/>
      <c r="H188" s="21" t="n"/>
      <c r="I188" s="18">
        <f>IF($F188="","",$F188-N($G188))</f>
        <v/>
      </c>
      <c r="J188" s="21" t="n"/>
      <c r="K188">
        <f>IF($F188="","",IF($I188&lt;=0,"Paid",IF(AND($J188&lt;&gt;"",TODAY()&gt;$J188),"Overdue",IF(N($G188)&gt;0,"Partial","Upcoming"))))</f>
        <v/>
      </c>
      <c r="L188" s="27">
        <f>IF(OR($F188="",$I188&lt;=0,$J188=""),"",IF(TODAY()&gt;$J188,TODAY()-$J188,""))</f>
        <v/>
      </c>
      <c r="M188" s="22" t="n"/>
    </row>
    <row r="189">
      <c r="B189" s="22" t="n"/>
      <c r="C189" s="22" t="n"/>
      <c r="D189" s="22" t="n"/>
      <c r="E189" s="21" t="n"/>
      <c r="F189" s="23" t="n"/>
      <c r="G189" s="23" t="n"/>
      <c r="H189" s="21" t="n"/>
      <c r="I189" s="18">
        <f>IF($F189="","",$F189-N($G189))</f>
        <v/>
      </c>
      <c r="J189" s="21" t="n"/>
      <c r="K189">
        <f>IF($F189="","",IF($I189&lt;=0,"Paid",IF(AND($J189&lt;&gt;"",TODAY()&gt;$J189),"Overdue",IF(N($G189)&gt;0,"Partial","Upcoming"))))</f>
        <v/>
      </c>
      <c r="L189" s="27">
        <f>IF(OR($F189="",$I189&lt;=0,$J189=""),"",IF(TODAY()&gt;$J189,TODAY()-$J189,""))</f>
        <v/>
      </c>
      <c r="M189" s="22" t="n"/>
    </row>
    <row r="190">
      <c r="B190" s="22" t="n"/>
      <c r="C190" s="22" t="n"/>
      <c r="D190" s="22" t="n"/>
      <c r="E190" s="21" t="n"/>
      <c r="F190" s="23" t="n"/>
      <c r="G190" s="23" t="n"/>
      <c r="H190" s="21" t="n"/>
      <c r="I190" s="18">
        <f>IF($F190="","",$F190-N($G190))</f>
        <v/>
      </c>
      <c r="J190" s="21" t="n"/>
      <c r="K190">
        <f>IF($F190="","",IF($I190&lt;=0,"Paid",IF(AND($J190&lt;&gt;"",TODAY()&gt;$J190),"Overdue",IF(N($G190)&gt;0,"Partial","Upcoming"))))</f>
        <v/>
      </c>
      <c r="L190" s="27">
        <f>IF(OR($F190="",$I190&lt;=0,$J190=""),"",IF(TODAY()&gt;$J190,TODAY()-$J190,""))</f>
        <v/>
      </c>
      <c r="M190" s="22" t="n"/>
    </row>
    <row r="191">
      <c r="B191" s="22" t="n"/>
      <c r="C191" s="22" t="n"/>
      <c r="D191" s="22" t="n"/>
      <c r="E191" s="21" t="n"/>
      <c r="F191" s="23" t="n"/>
      <c r="G191" s="23" t="n"/>
      <c r="H191" s="21" t="n"/>
      <c r="I191" s="18">
        <f>IF($F191="","",$F191-N($G191))</f>
        <v/>
      </c>
      <c r="J191" s="21" t="n"/>
      <c r="K191">
        <f>IF($F191="","",IF($I191&lt;=0,"Paid",IF(AND($J191&lt;&gt;"",TODAY()&gt;$J191),"Overdue",IF(N($G191)&gt;0,"Partial","Upcoming"))))</f>
        <v/>
      </c>
      <c r="L191" s="27">
        <f>IF(OR($F191="",$I191&lt;=0,$J191=""),"",IF(TODAY()&gt;$J191,TODAY()-$J191,""))</f>
        <v/>
      </c>
      <c r="M191" s="22" t="n"/>
    </row>
    <row r="192">
      <c r="B192" s="22" t="n"/>
      <c r="C192" s="22" t="n"/>
      <c r="D192" s="22" t="n"/>
      <c r="E192" s="21" t="n"/>
      <c r="F192" s="23" t="n"/>
      <c r="G192" s="23" t="n"/>
      <c r="H192" s="21" t="n"/>
      <c r="I192" s="18">
        <f>IF($F192="","",$F192-N($G192))</f>
        <v/>
      </c>
      <c r="J192" s="21" t="n"/>
      <c r="K192">
        <f>IF($F192="","",IF($I192&lt;=0,"Paid",IF(AND($J192&lt;&gt;"",TODAY()&gt;$J192),"Overdue",IF(N($G192)&gt;0,"Partial","Upcoming"))))</f>
        <v/>
      </c>
      <c r="L192" s="27">
        <f>IF(OR($F192="",$I192&lt;=0,$J192=""),"",IF(TODAY()&gt;$J192,TODAY()-$J192,""))</f>
        <v/>
      </c>
      <c r="M192" s="22" t="n"/>
    </row>
    <row r="193">
      <c r="B193" s="22" t="n"/>
      <c r="C193" s="22" t="n"/>
      <c r="D193" s="22" t="n"/>
      <c r="E193" s="21" t="n"/>
      <c r="F193" s="23" t="n"/>
      <c r="G193" s="23" t="n"/>
      <c r="H193" s="21" t="n"/>
      <c r="I193" s="18">
        <f>IF($F193="","",$F193-N($G193))</f>
        <v/>
      </c>
      <c r="J193" s="21" t="n"/>
      <c r="K193">
        <f>IF($F193="","",IF($I193&lt;=0,"Paid",IF(AND($J193&lt;&gt;"",TODAY()&gt;$J193),"Overdue",IF(N($G193)&gt;0,"Partial","Upcoming"))))</f>
        <v/>
      </c>
      <c r="L193" s="27">
        <f>IF(OR($F193="",$I193&lt;=0,$J193=""),"",IF(TODAY()&gt;$J193,TODAY()-$J193,""))</f>
        <v/>
      </c>
      <c r="M193" s="22" t="n"/>
    </row>
    <row r="194">
      <c r="B194" s="22" t="n"/>
      <c r="C194" s="22" t="n"/>
      <c r="D194" s="22" t="n"/>
      <c r="E194" s="21" t="n"/>
      <c r="F194" s="23" t="n"/>
      <c r="G194" s="23" t="n"/>
      <c r="H194" s="21" t="n"/>
      <c r="I194" s="18">
        <f>IF($F194="","",$F194-N($G194))</f>
        <v/>
      </c>
      <c r="J194" s="21" t="n"/>
      <c r="K194">
        <f>IF($F194="","",IF($I194&lt;=0,"Paid",IF(AND($J194&lt;&gt;"",TODAY()&gt;$J194),"Overdue",IF(N($G194)&gt;0,"Partial","Upcoming"))))</f>
        <v/>
      </c>
      <c r="L194" s="27">
        <f>IF(OR($F194="",$I194&lt;=0,$J194=""),"",IF(TODAY()&gt;$J194,TODAY()-$J194,""))</f>
        <v/>
      </c>
      <c r="M194" s="22" t="n"/>
    </row>
    <row r="195">
      <c r="B195" s="22" t="n"/>
      <c r="C195" s="22" t="n"/>
      <c r="D195" s="22" t="n"/>
      <c r="E195" s="21" t="n"/>
      <c r="F195" s="23" t="n"/>
      <c r="G195" s="23" t="n"/>
      <c r="H195" s="21" t="n"/>
      <c r="I195" s="18">
        <f>IF($F195="","",$F195-N($G195))</f>
        <v/>
      </c>
      <c r="J195" s="21" t="n"/>
      <c r="K195">
        <f>IF($F195="","",IF($I195&lt;=0,"Paid",IF(AND($J195&lt;&gt;"",TODAY()&gt;$J195),"Overdue",IF(N($G195)&gt;0,"Partial","Upcoming"))))</f>
        <v/>
      </c>
      <c r="L195" s="27">
        <f>IF(OR($F195="",$I195&lt;=0,$J195=""),"",IF(TODAY()&gt;$J195,TODAY()-$J195,""))</f>
        <v/>
      </c>
      <c r="M195" s="22" t="n"/>
    </row>
    <row r="196">
      <c r="B196" s="22" t="n"/>
      <c r="C196" s="22" t="n"/>
      <c r="D196" s="22" t="n"/>
      <c r="E196" s="21" t="n"/>
      <c r="F196" s="23" t="n"/>
      <c r="G196" s="23" t="n"/>
      <c r="H196" s="21" t="n"/>
      <c r="I196" s="18">
        <f>IF($F196="","",$F196-N($G196))</f>
        <v/>
      </c>
      <c r="J196" s="21" t="n"/>
      <c r="K196">
        <f>IF($F196="","",IF($I196&lt;=0,"Paid",IF(AND($J196&lt;&gt;"",TODAY()&gt;$J196),"Overdue",IF(N($G196)&gt;0,"Partial","Upcoming"))))</f>
        <v/>
      </c>
      <c r="L196" s="27">
        <f>IF(OR($F196="",$I196&lt;=0,$J196=""),"",IF(TODAY()&gt;$J196,TODAY()-$J196,""))</f>
        <v/>
      </c>
      <c r="M196" s="22" t="n"/>
    </row>
    <row r="197">
      <c r="B197" s="22" t="n"/>
      <c r="C197" s="22" t="n"/>
      <c r="D197" s="22" t="n"/>
      <c r="E197" s="21" t="n"/>
      <c r="F197" s="23" t="n"/>
      <c r="G197" s="23" t="n"/>
      <c r="H197" s="21" t="n"/>
      <c r="I197" s="18">
        <f>IF($F197="","",$F197-N($G197))</f>
        <v/>
      </c>
      <c r="J197" s="21" t="n"/>
      <c r="K197">
        <f>IF($F197="","",IF($I197&lt;=0,"Paid",IF(AND($J197&lt;&gt;"",TODAY()&gt;$J197),"Overdue",IF(N($G197)&gt;0,"Partial","Upcoming"))))</f>
        <v/>
      </c>
      <c r="L197" s="27">
        <f>IF(OR($F197="",$I197&lt;=0,$J197=""),"",IF(TODAY()&gt;$J197,TODAY()-$J197,""))</f>
        <v/>
      </c>
      <c r="M197" s="22" t="n"/>
    </row>
    <row r="198">
      <c r="B198" s="22" t="n"/>
      <c r="C198" s="22" t="n"/>
      <c r="D198" s="22" t="n"/>
      <c r="E198" s="21" t="n"/>
      <c r="F198" s="23" t="n"/>
      <c r="G198" s="23" t="n"/>
      <c r="H198" s="21" t="n"/>
      <c r="I198" s="18">
        <f>IF($F198="","",$F198-N($G198))</f>
        <v/>
      </c>
      <c r="J198" s="21" t="n"/>
      <c r="K198">
        <f>IF($F198="","",IF($I198&lt;=0,"Paid",IF(AND($J198&lt;&gt;"",TODAY()&gt;$J198),"Overdue",IF(N($G198)&gt;0,"Partial","Upcoming"))))</f>
        <v/>
      </c>
      <c r="L198" s="27">
        <f>IF(OR($F198="",$I198&lt;=0,$J198=""),"",IF(TODAY()&gt;$J198,TODAY()-$J198,""))</f>
        <v/>
      </c>
      <c r="M198" s="22" t="n"/>
    </row>
    <row r="199">
      <c r="B199" s="22" t="n"/>
      <c r="C199" s="22" t="n"/>
      <c r="D199" s="22" t="n"/>
      <c r="E199" s="21" t="n"/>
      <c r="F199" s="23" t="n"/>
      <c r="G199" s="23" t="n"/>
      <c r="H199" s="21" t="n"/>
      <c r="I199" s="18">
        <f>IF($F199="","",$F199-N($G199))</f>
        <v/>
      </c>
      <c r="J199" s="21" t="n"/>
      <c r="K199">
        <f>IF($F199="","",IF($I199&lt;=0,"Paid",IF(AND($J199&lt;&gt;"",TODAY()&gt;$J199),"Overdue",IF(N($G199)&gt;0,"Partial","Upcoming"))))</f>
        <v/>
      </c>
      <c r="L199" s="27">
        <f>IF(OR($F199="",$I199&lt;=0,$J199=""),"",IF(TODAY()&gt;$J199,TODAY()-$J199,""))</f>
        <v/>
      </c>
      <c r="M199" s="22" t="n"/>
    </row>
    <row r="200">
      <c r="B200" s="22" t="n"/>
      <c r="C200" s="22" t="n"/>
      <c r="D200" s="22" t="n"/>
      <c r="E200" s="21" t="n"/>
      <c r="F200" s="23" t="n"/>
      <c r="G200" s="23" t="n"/>
      <c r="H200" s="21" t="n"/>
      <c r="I200" s="18">
        <f>IF($F200="","",$F200-N($G200))</f>
        <v/>
      </c>
      <c r="J200" s="21" t="n"/>
      <c r="K200">
        <f>IF($F200="","",IF($I200&lt;=0,"Paid",IF(AND($J200&lt;&gt;"",TODAY()&gt;$J200),"Overdue",IF(N($G200)&gt;0,"Partial","Upcoming"))))</f>
        <v/>
      </c>
      <c r="L200" s="27">
        <f>IF(OR($F200="",$I200&lt;=0,$J200=""),"",IF(TODAY()&gt;$J200,TODAY()-$J200,""))</f>
        <v/>
      </c>
      <c r="M200" s="22" t="n"/>
    </row>
    <row r="201">
      <c r="B201" s="22" t="n"/>
      <c r="C201" s="22" t="n"/>
      <c r="D201" s="22" t="n"/>
      <c r="E201" s="21" t="n"/>
      <c r="F201" s="23" t="n"/>
      <c r="G201" s="23" t="n"/>
      <c r="H201" s="21" t="n"/>
      <c r="I201" s="18">
        <f>IF($F201="","",$F201-N($G201))</f>
        <v/>
      </c>
      <c r="J201" s="21" t="n"/>
      <c r="K201">
        <f>IF($F201="","",IF($I201&lt;=0,"Paid",IF(AND($J201&lt;&gt;"",TODAY()&gt;$J201),"Overdue",IF(N($G201)&gt;0,"Partial","Upcoming"))))</f>
        <v/>
      </c>
      <c r="L201" s="27">
        <f>IF(OR($F201="",$I201&lt;=0,$J201=""),"",IF(TODAY()&gt;$J201,TODAY()-$J201,""))</f>
        <v/>
      </c>
      <c r="M201" s="22" t="n"/>
    </row>
    <row r="202">
      <c r="B202" s="22" t="n"/>
      <c r="C202" s="22" t="n"/>
      <c r="D202" s="22" t="n"/>
      <c r="E202" s="21" t="n"/>
      <c r="F202" s="23" t="n"/>
      <c r="G202" s="23" t="n"/>
      <c r="H202" s="21" t="n"/>
      <c r="I202" s="18">
        <f>IF($F202="","",$F202-N($G202))</f>
        <v/>
      </c>
      <c r="J202" s="21" t="n"/>
      <c r="K202">
        <f>IF($F202="","",IF($I202&lt;=0,"Paid",IF(AND($J202&lt;&gt;"",TODAY()&gt;$J202),"Overdue",IF(N($G202)&gt;0,"Partial","Upcoming"))))</f>
        <v/>
      </c>
      <c r="L202" s="27">
        <f>IF(OR($F202="",$I202&lt;=0,$J202=""),"",IF(TODAY()&gt;$J202,TODAY()-$J202,""))</f>
        <v/>
      </c>
      <c r="M202" s="22" t="n"/>
    </row>
    <row r="203">
      <c r="B203" s="22" t="n"/>
      <c r="C203" s="22" t="n"/>
      <c r="D203" s="22" t="n"/>
      <c r="E203" s="21" t="n"/>
      <c r="F203" s="23" t="n"/>
      <c r="G203" s="23" t="n"/>
      <c r="H203" s="21" t="n"/>
      <c r="I203" s="18">
        <f>IF($F203="","",$F203-N($G203))</f>
        <v/>
      </c>
      <c r="J203" s="21" t="n"/>
      <c r="K203">
        <f>IF($F203="","",IF($I203&lt;=0,"Paid",IF(AND($J203&lt;&gt;"",TODAY()&gt;$J203),"Overdue",IF(N($G203)&gt;0,"Partial","Upcoming"))))</f>
        <v/>
      </c>
      <c r="L203" s="27">
        <f>IF(OR($F203="",$I203&lt;=0,$J203=""),"",IF(TODAY()&gt;$J203,TODAY()-$J203,""))</f>
        <v/>
      </c>
      <c r="M203" s="22" t="n"/>
    </row>
    <row r="204">
      <c r="B204" s="22" t="n"/>
      <c r="C204" s="22" t="n"/>
      <c r="D204" s="22" t="n"/>
      <c r="E204" s="21" t="n"/>
      <c r="F204" s="23" t="n"/>
      <c r="G204" s="23" t="n"/>
      <c r="H204" s="21" t="n"/>
      <c r="I204" s="18">
        <f>IF($F204="","",$F204-N($G204))</f>
        <v/>
      </c>
      <c r="J204" s="21" t="n"/>
      <c r="K204">
        <f>IF($F204="","",IF($I204&lt;=0,"Paid",IF(AND($J204&lt;&gt;"",TODAY()&gt;$J204),"Overdue",IF(N($G204)&gt;0,"Partial","Upcoming"))))</f>
        <v/>
      </c>
      <c r="L204" s="27">
        <f>IF(OR($F204="",$I204&lt;=0,$J204=""),"",IF(TODAY()&gt;$J204,TODAY()-$J204,""))</f>
        <v/>
      </c>
      <c r="M204" s="22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B4:M204"/>
  <mergeCells count="2">
    <mergeCell ref="B3:M3"/>
    <mergeCell ref="B2:M2"/>
  </mergeCells>
  <conditionalFormatting sqref="B5:M204">
    <cfRule type="expression" priority="1" dxfId="0">
      <formula>$K5="Overdue"</formula>
    </cfRule>
    <cfRule type="expression" priority="2" dxfId="1">
      <formula>$K5="Paid"</formula>
    </cfRule>
  </conditionalFormatting>
  <hyperlinks>
    <hyperlink ref="B1" location="'Start Here'!A1"/>
    <hyperlink ref="D1" location="'Dashboard'!A1"/>
    <hyperlink ref="F1" location="'Pipeline'!A1"/>
    <hyperlink ref="H1" location="'Jobs'!A1"/>
    <hyperlink ref="J1" location="'Invoices'!A1"/>
    <hyperlink ref="L1" location="'Settings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3" customWidth="1" min="4" max="4"/>
    <col width="22" customWidth="1" min="5" max="5"/>
    <col width="3" customWidth="1" min="6" max="6"/>
    <col width="16" customWidth="1" min="7" max="7"/>
    <col width="12" customWidth="1" min="8" max="8"/>
    <col width="3" customWidth="1" min="9" max="9"/>
    <col width="14" customWidth="1" min="10" max="10"/>
    <col width="10" customWidth="1" min="11" max="11"/>
  </cols>
  <sheetData>
    <row r="1" ht="15" customHeight="1">
      <c r="B1" s="2" t="inlineStr">
        <is>
          <t>Start</t>
        </is>
      </c>
      <c r="D1" s="2" t="inlineStr">
        <is>
          <t>Dashboard</t>
        </is>
      </c>
      <c r="F1" s="2" t="inlineStr">
        <is>
          <t>Pipeline</t>
        </is>
      </c>
      <c r="H1" s="2" t="inlineStr">
        <is>
          <t>Jobs</t>
        </is>
      </c>
      <c r="J1" s="2" t="inlineStr">
        <is>
          <t>Invoices</t>
        </is>
      </c>
      <c r="L1" s="1" t="inlineStr">
        <is>
          <t>Settings</t>
        </is>
      </c>
    </row>
    <row r="2" ht="24" customHeight="1">
      <c r="B2" s="11" t="inlineStr">
        <is>
          <t xml:space="preserve">  SETTINGS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6" customHeight="1">
      <c r="B3" s="5" t="inlineStr">
        <is>
          <t xml:space="preserve">  Rename lists here — dropdowns and formulas follow automatically.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5">
      <c r="B5" s="28" t="inlineStr">
        <is>
          <t>Currency label</t>
        </is>
      </c>
      <c r="C5" s="22" t="inlineStr">
        <is>
          <t>AED</t>
        </is>
      </c>
    </row>
    <row r="6">
      <c r="B6" s="28" t="inlineStr">
        <is>
          <t>VAT note</t>
        </is>
      </c>
      <c r="C6" s="22" t="inlineStr">
        <is>
          <t>VAT 5% — prices exclude VAT unless stated</t>
        </is>
      </c>
    </row>
    <row r="9">
      <c r="C9" s="29" t="inlineStr">
        <is>
          <t>Business lines</t>
        </is>
      </c>
      <c r="E9" s="29" t="inlineStr">
        <is>
          <t>Lead sources</t>
        </is>
      </c>
      <c r="G9" s="29" t="inlineStr">
        <is>
          <t>Stage</t>
        </is>
      </c>
      <c r="H9" s="29" t="inlineStr">
        <is>
          <t>Probability</t>
        </is>
      </c>
      <c r="J9" s="29" t="inlineStr">
        <is>
          <t>Job status</t>
        </is>
      </c>
    </row>
    <row r="10">
      <c r="C10" s="22" t="inlineStr">
        <is>
          <t>Signage</t>
        </is>
      </c>
      <c r="E10" s="22" t="inlineStr">
        <is>
          <t>Google Ads</t>
        </is>
      </c>
      <c r="G10" s="22" t="inlineStr">
        <is>
          <t>New</t>
        </is>
      </c>
      <c r="H10" s="30" t="n">
        <v>0.1</v>
      </c>
      <c r="J10" s="22" t="inlineStr">
        <is>
          <t>In progress</t>
        </is>
      </c>
    </row>
    <row r="11">
      <c r="C11" s="22" t="inlineStr">
        <is>
          <t>Neon</t>
        </is>
      </c>
      <c r="E11" s="22" t="inlineStr">
        <is>
          <t>Instagram</t>
        </is>
      </c>
      <c r="G11" s="22" t="inlineStr">
        <is>
          <t>Contacted</t>
        </is>
      </c>
      <c r="H11" s="30" t="n">
        <v>0.25</v>
      </c>
      <c r="J11" s="22" t="inlineStr">
        <is>
          <t>Done</t>
        </is>
      </c>
    </row>
    <row r="12">
      <c r="C12" s="22" t="inlineStr">
        <is>
          <t>Fitout</t>
        </is>
      </c>
      <c r="E12" s="22" t="inlineStr">
        <is>
          <t>Referral</t>
        </is>
      </c>
      <c r="G12" s="22" t="inlineStr">
        <is>
          <t>Quote sent</t>
        </is>
      </c>
      <c r="H12" s="30" t="n">
        <v>0.4</v>
      </c>
    </row>
    <row r="13">
      <c r="C13" s="22" t="inlineStr">
        <is>
          <t>Website</t>
        </is>
      </c>
      <c r="E13" s="22" t="inlineStr">
        <is>
          <t>Walk-in</t>
        </is>
      </c>
      <c r="G13" s="22" t="inlineStr">
        <is>
          <t>Negotiating</t>
        </is>
      </c>
      <c r="H13" s="30" t="n">
        <v>0.6</v>
      </c>
    </row>
    <row r="14">
      <c r="E14" s="22" t="inlineStr">
        <is>
          <t>Existing client</t>
        </is>
      </c>
      <c r="G14" s="22" t="inlineStr">
        <is>
          <t>Won</t>
        </is>
      </c>
      <c r="H14" s="30" t="n">
        <v>1</v>
      </c>
    </row>
    <row r="15">
      <c r="E15" s="22" t="inlineStr">
        <is>
          <t>Designer partner</t>
        </is>
      </c>
      <c r="G15" s="22" t="inlineStr">
        <is>
          <t>Lost</t>
        </is>
      </c>
      <c r="H15" s="30" t="n">
        <v>0</v>
      </c>
    </row>
    <row r="17">
      <c r="B17" s="10" t="inlineStr">
        <is>
          <t>Stages Won and Lost count as closed. A lead in any other stage is open pipeline.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B3:K3"/>
    <mergeCell ref="B2:K2"/>
  </mergeCells>
  <hyperlinks>
    <hyperlink ref="B1" location="'Start Here'!A1"/>
    <hyperlink ref="D1" location="'Dashboard'!A1"/>
    <hyperlink ref="F1" location="'Pipeline'!A1"/>
    <hyperlink ref="H1" location="'Jobs'!A1"/>
    <hyperlink ref="J1" location="'Invoices'!A1"/>
    <hyperlink ref="L1" location="'Settings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2026-07-04T13:00:14Z</dcterms:created>
  <dcterms:modified xsi:type="dcterms:W3CDTF">2026-07-04T13:00:15Z</dcterms:modified>
</cp:coreProperties>
</file>